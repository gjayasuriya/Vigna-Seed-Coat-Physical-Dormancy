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visit\Meise Project\Imbibition germination and SCR\"/>
    </mc:Choice>
  </mc:AlternateContent>
  <xr:revisionPtr revIDLastSave="0" documentId="13_ncr:1_{7DBAD84F-76F8-4AB9-A14A-2E74838FC550}" xr6:coauthVersionLast="47" xr6:coauthVersionMax="47" xr10:uidLastSave="{00000000-0000-0000-0000-000000000000}"/>
  <bookViews>
    <workbookView xWindow="-110" yWindow="-110" windowWidth="19420" windowHeight="10300" activeTab="1" xr2:uid="{22E4E5CA-1049-4B7B-B708-7876365029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8" i="2"/>
  <c r="I7" i="2"/>
  <c r="I11" i="2" s="1"/>
  <c r="I6" i="2"/>
  <c r="D6" i="1"/>
  <c r="D5" i="1"/>
  <c r="D4" i="1"/>
  <c r="I10" i="2" l="1"/>
  <c r="D8" i="1"/>
  <c r="D7" i="1"/>
</calcChain>
</file>

<file path=xl/sharedStrings.xml><?xml version="1.0" encoding="utf-8"?>
<sst xmlns="http://schemas.openxmlformats.org/spreadsheetml/2006/main" count="16" uniqueCount="15">
  <si>
    <t>SCR</t>
  </si>
  <si>
    <t>Embryo weight</t>
  </si>
  <si>
    <t>Seed coat weight</t>
  </si>
  <si>
    <t>Average</t>
  </si>
  <si>
    <t>Ger</t>
  </si>
  <si>
    <t>Start</t>
  </si>
  <si>
    <t>15/2/2023</t>
  </si>
  <si>
    <t>25 seeds</t>
  </si>
  <si>
    <t>Rep</t>
  </si>
  <si>
    <t>16/02/2023</t>
  </si>
  <si>
    <t>17/02/2023</t>
  </si>
  <si>
    <t>20/02/2023</t>
  </si>
  <si>
    <t>21/02/2023</t>
  </si>
  <si>
    <t>22/02/2023</t>
  </si>
  <si>
    <t>24/02/2023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</si>
</sst>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E1EB-27FA-482A-957E-DA94C530A776}">
  <dimension ref="A1:D8"/>
  <sheetViews>
    <sheetView workbookViewId="0">
      <selection activeCell="E6" sqref="E6"/>
    </sheetView>
  </sheetViews>
  <sheetFormatPr defaultRowHeight="14.5" x14ac:dyDescent="0.35"/>
  <sheetData>
    <row r="1" spans="1:4" x14ac:dyDescent="0.35">
      <c r="A1" t="s">
        <v>0</v>
      </c>
      <c r="B1">
        <v>19901813</v>
      </c>
    </row>
    <row r="3" spans="1:4" x14ac:dyDescent="0.35">
      <c r="B3" t="s">
        <v>1</v>
      </c>
      <c r="C3" t="s">
        <v>2</v>
      </c>
      <c r="D3" t="s">
        <v>0</v>
      </c>
    </row>
    <row r="4" spans="1:4" x14ac:dyDescent="0.35">
      <c r="B4">
        <v>0.09</v>
      </c>
      <c r="C4">
        <v>1.7999999999999999E-2</v>
      </c>
      <c r="D4">
        <f>C4/(B4+C4)</f>
        <v>0.16666666666666666</v>
      </c>
    </row>
    <row r="5" spans="1:4" x14ac:dyDescent="0.35">
      <c r="B5">
        <v>0.10299999999999999</v>
      </c>
      <c r="C5">
        <v>2.5000000000000001E-2</v>
      </c>
      <c r="D5">
        <f t="shared" ref="D5:D6" si="0">C5/(B5+C5)</f>
        <v>0.1953125</v>
      </c>
    </row>
    <row r="6" spans="1:4" x14ac:dyDescent="0.35">
      <c r="B6">
        <v>0.09</v>
      </c>
      <c r="C6">
        <v>0.02</v>
      </c>
      <c r="D6">
        <f t="shared" si="0"/>
        <v>0.18181818181818182</v>
      </c>
    </row>
    <row r="7" spans="1:4" x14ac:dyDescent="0.35">
      <c r="B7" t="s">
        <v>3</v>
      </c>
      <c r="D7">
        <f>AVERAGE(D4:D6)</f>
        <v>0.18126578282828279</v>
      </c>
    </row>
    <row r="8" spans="1:4" x14ac:dyDescent="0.35">
      <c r="D8">
        <f>_xlfn.STDEV.S(D4:D6)</f>
        <v>1.4330903681321321E-2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CEDE-D3BD-4C27-BB1E-297DF4519A00}">
  <dimension ref="A1:I11"/>
  <sheetViews>
    <sheetView tabSelected="1" workbookViewId="0">
      <selection activeCell="H17" sqref="H17"/>
    </sheetView>
  </sheetViews>
  <sheetFormatPr defaultRowHeight="14.5" x14ac:dyDescent="0.35"/>
  <sheetData>
    <row r="1" spans="1:9" x14ac:dyDescent="0.35">
      <c r="A1" t="s">
        <v>4</v>
      </c>
    </row>
    <row r="3" spans="1:9" x14ac:dyDescent="0.35">
      <c r="A3" t="s">
        <v>5</v>
      </c>
      <c r="B3" t="s">
        <v>6</v>
      </c>
      <c r="C3" t="s">
        <v>7</v>
      </c>
    </row>
    <row r="5" spans="1:9" x14ac:dyDescent="0.3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</row>
    <row r="6" spans="1:9" x14ac:dyDescent="0.3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f>H6/25 *100</f>
        <v>0</v>
      </c>
    </row>
    <row r="7" spans="1:9" x14ac:dyDescent="0.35">
      <c r="A7">
        <v>2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f t="shared" ref="I7:I9" si="0">H7/25 *100</f>
        <v>4</v>
      </c>
    </row>
    <row r="8" spans="1:9" x14ac:dyDescent="0.35">
      <c r="A8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 t="shared" si="0"/>
        <v>0</v>
      </c>
    </row>
    <row r="9" spans="1:9" x14ac:dyDescent="0.35">
      <c r="A9">
        <v>4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f t="shared" si="0"/>
        <v>4</v>
      </c>
    </row>
    <row r="10" spans="1:9" x14ac:dyDescent="0.35">
      <c r="I10" s="1">
        <f>AVERAGE(I6:I9)</f>
        <v>2</v>
      </c>
    </row>
    <row r="11" spans="1:9" x14ac:dyDescent="0.35">
      <c r="I11" s="1">
        <f>_xlfn.STDEV.S(I6:I9)</f>
        <v>2.3094010767585029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Ranithu Jayasuriya</cp:lastModifiedBy>
  <dcterms:created xsi:type="dcterms:W3CDTF">2023-02-16T16:19:50Z</dcterms:created>
  <dcterms:modified xsi:type="dcterms:W3CDTF">2026-02-21T06:32:56Z</dcterms:modified>
</cp:coreProperties>
</file>