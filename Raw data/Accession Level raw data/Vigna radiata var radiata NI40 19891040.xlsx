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41B05B2B-C056-4402-BE92-A83AF2E328F8}" xr6:coauthVersionLast="47" xr6:coauthVersionMax="47" xr10:uidLastSave="{00000000-0000-0000-0000-000000000000}"/>
  <bookViews>
    <workbookView xWindow="-110" yWindow="-110" windowWidth="19420" windowHeight="10300" activeTab="2" xr2:uid="{D4C23269-6058-41EE-9BEB-5DE719611FA8}"/>
  </bookViews>
  <sheets>
    <sheet name="Imbibition" sheetId="1" r:id="rId1"/>
    <sheet name="Sheet1" sheetId="4" r:id="rId2"/>
    <sheet name="Germination" sheetId="2" r:id="rId3"/>
    <sheet name="SC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7" i="2"/>
  <c r="L8" i="2"/>
  <c r="L9" i="2"/>
  <c r="L6" i="2"/>
  <c r="F53" i="4"/>
  <c r="E53" i="4"/>
  <c r="D53" i="4"/>
  <c r="C53" i="4"/>
  <c r="G52" i="4"/>
  <c r="G53" i="4" s="1"/>
  <c r="F52" i="4"/>
  <c r="E52" i="4"/>
  <c r="D52" i="4"/>
  <c r="C52" i="4"/>
  <c r="B52" i="4"/>
  <c r="B53" i="4" s="1"/>
  <c r="G51" i="4"/>
  <c r="F51" i="4"/>
  <c r="E51" i="4"/>
  <c r="D51" i="4"/>
  <c r="C51" i="4"/>
  <c r="B51" i="4"/>
  <c r="G26" i="4"/>
  <c r="G27" i="4" s="1"/>
  <c r="F26" i="4"/>
  <c r="F27" i="4" s="1"/>
  <c r="E26" i="4"/>
  <c r="E27" i="4" s="1"/>
  <c r="D26" i="4"/>
  <c r="D27" i="4" s="1"/>
  <c r="C26" i="4"/>
  <c r="C27" i="4" s="1"/>
  <c r="B26" i="4"/>
  <c r="B27" i="4" s="1"/>
  <c r="G25" i="4"/>
  <c r="F25" i="4"/>
  <c r="E25" i="4"/>
  <c r="D25" i="4"/>
  <c r="C25" i="4"/>
  <c r="B25" i="4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D6" i="3" l="1"/>
  <c r="D5" i="3"/>
  <c r="D4" i="3"/>
  <c r="D8" i="3" l="1"/>
  <c r="D7" i="3"/>
</calcChain>
</file>

<file path=xl/sharedStrings.xml><?xml version="1.0" encoding="utf-8"?>
<sst xmlns="http://schemas.openxmlformats.org/spreadsheetml/2006/main" count="37" uniqueCount="23">
  <si>
    <t>Vigna radiata var radiata</t>
  </si>
  <si>
    <t>NI159</t>
  </si>
  <si>
    <t>UT</t>
  </si>
  <si>
    <t>13/02/2023</t>
  </si>
  <si>
    <t>Seed no.</t>
  </si>
  <si>
    <t>MS</t>
  </si>
  <si>
    <t>Ger</t>
  </si>
  <si>
    <t>Start</t>
  </si>
  <si>
    <t>25 seeds</t>
  </si>
  <si>
    <t>Rep</t>
  </si>
  <si>
    <t>SCR</t>
  </si>
  <si>
    <t>Embryo weight</t>
  </si>
  <si>
    <t>Seed coat weight</t>
  </si>
  <si>
    <t>Average</t>
  </si>
  <si>
    <t>14/02/2023</t>
  </si>
  <si>
    <t>15/02/2023</t>
  </si>
  <si>
    <t>16/02/2023</t>
  </si>
  <si>
    <t>17/02/2023</t>
  </si>
  <si>
    <t>NI40</t>
  </si>
  <si>
    <t>20/02/2023</t>
  </si>
  <si>
    <t>21/02/2023</t>
  </si>
  <si>
    <t>24/02/2023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</si>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</sst>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20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1862729658792655"/>
          <c:h val="0.744081364829396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Sheet1!$K$15:$P$15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0.37490973411378092</c:v>
                  </c:pt>
                  <c:pt idx="3">
                    <c:v>14.265558384912953</c:v>
                  </c:pt>
                  <c:pt idx="4">
                    <c:v>27.329049450812366</c:v>
                  </c:pt>
                  <c:pt idx="5">
                    <c:v>32.376154907079957</c:v>
                  </c:pt>
                </c:numCache>
              </c:numRef>
            </c:plus>
            <c:minus>
              <c:numRef>
                <c:f>Sheet1!$K$15:$P$15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0.37490973411378092</c:v>
                  </c:pt>
                  <c:pt idx="3">
                    <c:v>14.265558384912953</c:v>
                  </c:pt>
                  <c:pt idx="4">
                    <c:v>27.329049450812366</c:v>
                  </c:pt>
                  <c:pt idx="5">
                    <c:v>32.376154907079957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Sheet1!$K$3:$P$3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</c:numCache>
            </c:numRef>
          </c:xVal>
          <c:yVal>
            <c:numRef>
              <c:f>Sheet1!$K$4:$P$4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0.27651515151515171</c:v>
                </c:pt>
                <c:pt idx="3">
                  <c:v>25.741322710072712</c:v>
                </c:pt>
                <c:pt idx="4">
                  <c:v>116.0204389652919</c:v>
                </c:pt>
                <c:pt idx="5">
                  <c:v>131.2704389652919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9-4441-8DFC-809E6220390B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Sheet1!$K$16:$P$16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12.363930074369124</c:v>
                  </c:pt>
                  <c:pt idx="2">
                    <c:v>116.59569273357921</c:v>
                  </c:pt>
                  <c:pt idx="3">
                    <c:v>27.714896493577587</c:v>
                  </c:pt>
                  <c:pt idx="4">
                    <c:v>37.303102173686419</c:v>
                  </c:pt>
                  <c:pt idx="5">
                    <c:v>37.279834061678642</c:v>
                  </c:pt>
                </c:numCache>
              </c:numRef>
            </c:plus>
            <c:minus>
              <c:numRef>
                <c:f>Sheet1!$K$16:$P$16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12.363930074369124</c:v>
                  </c:pt>
                  <c:pt idx="2">
                    <c:v>116.59569273357921</c:v>
                  </c:pt>
                  <c:pt idx="3">
                    <c:v>27.714896493577587</c:v>
                  </c:pt>
                  <c:pt idx="4">
                    <c:v>37.303102173686419</c:v>
                  </c:pt>
                  <c:pt idx="5">
                    <c:v>37.279834061678642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Sheet1!$K$3:$P$3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</c:numCache>
            </c:numRef>
          </c:xVal>
          <c:yVal>
            <c:numRef>
              <c:f>Sheet1!$K$5:$P$5</c:f>
              <c:numCache>
                <c:formatCode>General</c:formatCode>
                <c:ptCount val="6"/>
                <c:pt idx="0">
                  <c:v>0</c:v>
                </c:pt>
                <c:pt idx="1">
                  <c:v>33.073874981763907</c:v>
                </c:pt>
                <c:pt idx="2">
                  <c:v>115.76105500808748</c:v>
                </c:pt>
                <c:pt idx="3">
                  <c:v>118.17176710511801</c:v>
                </c:pt>
                <c:pt idx="4">
                  <c:v>164.72167751532311</c:v>
                </c:pt>
                <c:pt idx="5">
                  <c:v>167.06542751532311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9-4441-8DFC-809E6220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40335"/>
        <c:axId val="2024936015"/>
      </c:scatterChart>
      <c:valAx>
        <c:axId val="2024940335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since incubation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36015"/>
        <c:crosses val="autoZero"/>
        <c:crossBetween val="midCat"/>
      </c:valAx>
      <c:valAx>
        <c:axId val="2024936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Mass increase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40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162489063867014"/>
          <c:y val="0.50520778652668408"/>
          <c:w val="0.23341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555625</xdr:colOff>
      <xdr:row>4</xdr:row>
      <xdr:rowOff>117475</xdr:rowOff>
    </xdr:from>
    <xdr:to>
      <xdr:col>13</xdr:col>
      <xdr:colOff>250825</xdr:colOff>
      <xdr:row>19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5E6BE-16DF-ABE1-1D4E-742E2B916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89C-393C-49C3-A98D-5DF2E1B88C2B}">
  <dimension ref="A1:R48"/>
  <sheetViews>
    <sheetView topLeftCell="A16" workbookViewId="0">
      <selection activeCell="A16" sqref="A1:XFD1048576"/>
    </sheetView>
  </sheetViews>
  <sheetFormatPr defaultRowHeight="14.5" x14ac:dyDescent="0.35"/>
  <cols>
    <col min="8" max="8" width="9.453125" bestFit="1" customWidth="1"/>
    <col min="9" max="9" width="9.453125" customWidth="1"/>
    <col min="10" max="10" width="9.453125" bestFit="1" customWidth="1"/>
    <col min="12" max="12" width="9.453125" bestFit="1" customWidth="1"/>
  </cols>
  <sheetData>
    <row r="1" spans="1:18" x14ac:dyDescent="0.35">
      <c r="A1" t="s">
        <v>0</v>
      </c>
    </row>
    <row r="2" spans="1:18" x14ac:dyDescent="0.35">
      <c r="B2" t="s">
        <v>2</v>
      </c>
      <c r="D2">
        <v>14106</v>
      </c>
      <c r="F2">
        <v>19891040</v>
      </c>
      <c r="H2" t="s">
        <v>18</v>
      </c>
    </row>
    <row r="3" spans="1:18" x14ac:dyDescent="0.35">
      <c r="B3" s="9">
        <v>45171</v>
      </c>
      <c r="C3" s="9"/>
      <c r="D3" s="10"/>
      <c r="E3" s="10"/>
      <c r="F3" s="10"/>
      <c r="G3" s="8"/>
      <c r="H3" s="1">
        <v>45201</v>
      </c>
      <c r="I3" s="1"/>
      <c r="J3" s="1">
        <v>45232</v>
      </c>
      <c r="L3" s="1">
        <v>45262</v>
      </c>
      <c r="M3" t="s">
        <v>15</v>
      </c>
      <c r="N3" t="s">
        <v>16</v>
      </c>
      <c r="O3" t="s">
        <v>17</v>
      </c>
      <c r="P3" t="s">
        <v>19</v>
      </c>
      <c r="Q3" t="s">
        <v>20</v>
      </c>
      <c r="R3" t="s">
        <v>21</v>
      </c>
    </row>
    <row r="4" spans="1:18" x14ac:dyDescent="0.35">
      <c r="A4" t="s">
        <v>4</v>
      </c>
      <c r="B4" s="2">
        <v>0.36458333333333331</v>
      </c>
      <c r="C4" s="2"/>
      <c r="D4" s="2">
        <v>0.48958333333333331</v>
      </c>
      <c r="E4" s="2"/>
      <c r="F4" s="2">
        <v>0.61458333333333337</v>
      </c>
      <c r="G4" s="2"/>
      <c r="H4" s="2">
        <v>0.36458333333333331</v>
      </c>
      <c r="I4" s="2"/>
      <c r="J4" s="4">
        <v>0.36458333333333331</v>
      </c>
      <c r="K4" s="4"/>
      <c r="L4" s="4">
        <v>0.36458333333333331</v>
      </c>
    </row>
    <row r="5" spans="1:18" x14ac:dyDescent="0.35">
      <c r="A5">
        <v>1</v>
      </c>
      <c r="B5">
        <v>4.8000000000000001E-2</v>
      </c>
      <c r="C5">
        <f>(B5-B5)/B5 *100</f>
        <v>0</v>
      </c>
      <c r="D5">
        <v>4.8000000000000001E-2</v>
      </c>
      <c r="E5">
        <f>(D5-B5)/B5 *100</f>
        <v>0</v>
      </c>
      <c r="F5">
        <v>4.8000000000000001E-2</v>
      </c>
      <c r="G5">
        <f>(F5-B5)/B5 *100</f>
        <v>0</v>
      </c>
      <c r="H5">
        <v>5.0999999999999997E-2</v>
      </c>
      <c r="I5">
        <f>(H5-B5)/B5 *100</f>
        <v>6.2499999999999911</v>
      </c>
      <c r="J5" s="3">
        <v>0.11700000000000001</v>
      </c>
      <c r="K5">
        <f>(J5-B5)/B5 *100</f>
        <v>143.75</v>
      </c>
      <c r="L5" s="3">
        <v>0.11700000000000001</v>
      </c>
      <c r="M5">
        <f>(L5-B5)/B5 *100</f>
        <v>143.75</v>
      </c>
    </row>
    <row r="6" spans="1:18" x14ac:dyDescent="0.35">
      <c r="A6">
        <v>2</v>
      </c>
      <c r="B6">
        <v>3.4000000000000002E-2</v>
      </c>
      <c r="C6">
        <f t="shared" ref="C6:C24" si="0">(B6-B6)/B6 *100</f>
        <v>0</v>
      </c>
      <c r="D6">
        <v>3.4000000000000002E-2</v>
      </c>
      <c r="E6">
        <f t="shared" ref="E6:E24" si="1">(D6-B6)/B6 *100</f>
        <v>0</v>
      </c>
      <c r="F6">
        <v>3.4000000000000002E-2</v>
      </c>
      <c r="G6">
        <f t="shared" ref="G6:G24" si="2">(F6-B6)/B6 *100</f>
        <v>0</v>
      </c>
      <c r="H6">
        <v>3.4000000000000002E-2</v>
      </c>
      <c r="I6">
        <f t="shared" ref="I6:I24" si="3">(H6-B6)/B6 *100</f>
        <v>0</v>
      </c>
      <c r="J6" s="3">
        <v>0.09</v>
      </c>
      <c r="K6">
        <f t="shared" ref="K6:K24" si="4">(J6-B6)/B6 *100</f>
        <v>164.70588235294116</v>
      </c>
      <c r="L6" s="3">
        <v>0.09</v>
      </c>
      <c r="M6">
        <f t="shared" ref="M6:M24" si="5">(L6-B6)/B6 *100</f>
        <v>164.70588235294116</v>
      </c>
    </row>
    <row r="7" spans="1:18" x14ac:dyDescent="0.35">
      <c r="A7">
        <v>3</v>
      </c>
      <c r="B7">
        <v>4.3999999999999997E-2</v>
      </c>
      <c r="C7">
        <f t="shared" si="0"/>
        <v>0</v>
      </c>
      <c r="D7">
        <v>4.3999999999999997E-2</v>
      </c>
      <c r="E7">
        <f t="shared" si="1"/>
        <v>0</v>
      </c>
      <c r="F7">
        <v>4.3999999999999997E-2</v>
      </c>
      <c r="G7">
        <f t="shared" si="2"/>
        <v>0</v>
      </c>
      <c r="H7">
        <v>5.3999999999999999E-2</v>
      </c>
      <c r="I7">
        <f t="shared" si="3"/>
        <v>22.727272727272734</v>
      </c>
      <c r="J7" s="3">
        <v>8.4000000000000005E-2</v>
      </c>
      <c r="K7">
        <f t="shared" si="4"/>
        <v>90.909090909090935</v>
      </c>
      <c r="L7" s="3">
        <v>8.4000000000000005E-2</v>
      </c>
      <c r="M7">
        <f t="shared" si="5"/>
        <v>90.909090909090935</v>
      </c>
    </row>
    <row r="8" spans="1:18" x14ac:dyDescent="0.35">
      <c r="A8">
        <v>4</v>
      </c>
      <c r="B8">
        <v>0.04</v>
      </c>
      <c r="C8">
        <f t="shared" si="0"/>
        <v>0</v>
      </c>
      <c r="D8">
        <v>0.04</v>
      </c>
      <c r="E8">
        <f t="shared" si="1"/>
        <v>0</v>
      </c>
      <c r="F8">
        <v>0.04</v>
      </c>
      <c r="G8">
        <f t="shared" si="2"/>
        <v>0</v>
      </c>
      <c r="H8">
        <v>7.3999999999999996E-2</v>
      </c>
      <c r="I8">
        <f t="shared" si="3"/>
        <v>84.999999999999986</v>
      </c>
      <c r="J8" s="3">
        <v>8.5000000000000006E-2</v>
      </c>
      <c r="K8">
        <f t="shared" si="4"/>
        <v>112.5</v>
      </c>
      <c r="L8" s="3">
        <v>8.5000000000000006E-2</v>
      </c>
      <c r="M8">
        <f t="shared" si="5"/>
        <v>112.5</v>
      </c>
    </row>
    <row r="9" spans="1:18" x14ac:dyDescent="0.35">
      <c r="A9">
        <v>5</v>
      </c>
      <c r="B9">
        <v>4.2000000000000003E-2</v>
      </c>
      <c r="C9">
        <f t="shared" si="0"/>
        <v>0</v>
      </c>
      <c r="D9">
        <v>4.2000000000000003E-2</v>
      </c>
      <c r="E9">
        <f t="shared" si="1"/>
        <v>0</v>
      </c>
      <c r="F9">
        <v>4.2000000000000003E-2</v>
      </c>
      <c r="G9">
        <f t="shared" si="2"/>
        <v>0</v>
      </c>
      <c r="H9">
        <v>4.8000000000000001E-2</v>
      </c>
      <c r="I9">
        <f t="shared" si="3"/>
        <v>14.285714285714283</v>
      </c>
      <c r="J9" s="3">
        <v>9.7000000000000003E-2</v>
      </c>
      <c r="K9">
        <f t="shared" si="4"/>
        <v>130.95238095238096</v>
      </c>
      <c r="L9" s="3">
        <v>9.7000000000000003E-2</v>
      </c>
      <c r="M9">
        <f t="shared" si="5"/>
        <v>130.95238095238096</v>
      </c>
    </row>
    <row r="10" spans="1:18" x14ac:dyDescent="0.35">
      <c r="A10">
        <v>6</v>
      </c>
      <c r="B10">
        <v>0.04</v>
      </c>
      <c r="C10">
        <f t="shared" si="0"/>
        <v>0</v>
      </c>
      <c r="D10">
        <v>0.04</v>
      </c>
      <c r="E10">
        <f t="shared" si="1"/>
        <v>0</v>
      </c>
      <c r="F10">
        <v>0.04</v>
      </c>
      <c r="G10">
        <f t="shared" si="2"/>
        <v>0</v>
      </c>
      <c r="H10">
        <v>6.4000000000000001E-2</v>
      </c>
      <c r="I10">
        <f t="shared" si="3"/>
        <v>60</v>
      </c>
      <c r="J10" s="3">
        <v>0.114</v>
      </c>
      <c r="K10">
        <f t="shared" si="4"/>
        <v>185.00000000000003</v>
      </c>
      <c r="L10" s="3">
        <v>0.114</v>
      </c>
      <c r="M10">
        <f t="shared" si="5"/>
        <v>185.00000000000003</v>
      </c>
    </row>
    <row r="11" spans="1:18" x14ac:dyDescent="0.35">
      <c r="A11">
        <v>7</v>
      </c>
      <c r="B11">
        <v>5.1999999999999998E-2</v>
      </c>
      <c r="C11">
        <f t="shared" si="0"/>
        <v>0</v>
      </c>
      <c r="D11">
        <v>5.1999999999999998E-2</v>
      </c>
      <c r="E11">
        <f t="shared" si="1"/>
        <v>0</v>
      </c>
      <c r="F11">
        <v>5.1999999999999998E-2</v>
      </c>
      <c r="G11">
        <f t="shared" si="2"/>
        <v>0</v>
      </c>
      <c r="H11">
        <v>7.0999999999999994E-2</v>
      </c>
      <c r="I11">
        <f t="shared" si="3"/>
        <v>36.538461538461533</v>
      </c>
      <c r="J11" s="3">
        <v>7.3999999999999996E-2</v>
      </c>
      <c r="K11">
        <f t="shared" si="4"/>
        <v>42.307692307692307</v>
      </c>
      <c r="L11" s="3">
        <v>7.3999999999999996E-2</v>
      </c>
      <c r="M11">
        <f t="shared" si="5"/>
        <v>42.307692307692307</v>
      </c>
    </row>
    <row r="12" spans="1:18" x14ac:dyDescent="0.35">
      <c r="A12">
        <v>8</v>
      </c>
      <c r="B12">
        <v>0.04</v>
      </c>
      <c r="C12">
        <f t="shared" si="0"/>
        <v>0</v>
      </c>
      <c r="D12">
        <v>0.04</v>
      </c>
      <c r="E12">
        <f t="shared" si="1"/>
        <v>0</v>
      </c>
      <c r="F12">
        <v>0.04</v>
      </c>
      <c r="G12">
        <f t="shared" si="2"/>
        <v>0</v>
      </c>
      <c r="H12">
        <v>0.04</v>
      </c>
      <c r="I12">
        <f t="shared" si="3"/>
        <v>0</v>
      </c>
      <c r="J12">
        <v>5.1999999999999998E-2</v>
      </c>
      <c r="K12">
        <f t="shared" si="4"/>
        <v>29.999999999999993</v>
      </c>
      <c r="L12" s="3">
        <v>9.9000000000000005E-2</v>
      </c>
      <c r="M12">
        <f t="shared" si="5"/>
        <v>147.5</v>
      </c>
    </row>
    <row r="13" spans="1:18" x14ac:dyDescent="0.35">
      <c r="A13">
        <v>9</v>
      </c>
      <c r="B13">
        <v>0.04</v>
      </c>
      <c r="C13">
        <f t="shared" si="0"/>
        <v>0</v>
      </c>
      <c r="D13">
        <v>0.04</v>
      </c>
      <c r="E13">
        <f t="shared" si="1"/>
        <v>0</v>
      </c>
      <c r="F13">
        <v>4.1000000000000002E-2</v>
      </c>
      <c r="G13">
        <f t="shared" si="2"/>
        <v>2.5000000000000022</v>
      </c>
      <c r="H13">
        <v>4.1000000000000002E-2</v>
      </c>
      <c r="I13">
        <f t="shared" si="3"/>
        <v>2.5000000000000022</v>
      </c>
      <c r="J13" s="3">
        <v>0.11600000000000001</v>
      </c>
      <c r="K13">
        <f t="shared" si="4"/>
        <v>190.00000000000003</v>
      </c>
      <c r="L13" s="3">
        <v>0.11600000000000001</v>
      </c>
      <c r="M13">
        <f t="shared" si="5"/>
        <v>190.00000000000003</v>
      </c>
    </row>
    <row r="14" spans="1:18" x14ac:dyDescent="0.35">
      <c r="A14">
        <v>10</v>
      </c>
      <c r="B14">
        <v>5.1999999999999998E-2</v>
      </c>
      <c r="C14">
        <f t="shared" si="0"/>
        <v>0</v>
      </c>
      <c r="D14">
        <v>5.1999999999999998E-2</v>
      </c>
      <c r="E14">
        <f t="shared" si="1"/>
        <v>0</v>
      </c>
      <c r="F14">
        <v>5.1999999999999998E-2</v>
      </c>
      <c r="G14">
        <f t="shared" si="2"/>
        <v>0</v>
      </c>
      <c r="H14">
        <v>5.6000000000000001E-2</v>
      </c>
      <c r="I14">
        <f t="shared" si="3"/>
        <v>7.6923076923076996</v>
      </c>
      <c r="J14" s="3">
        <v>9.2999999999999999E-2</v>
      </c>
      <c r="K14">
        <f t="shared" si="4"/>
        <v>78.846153846153854</v>
      </c>
      <c r="L14" s="3">
        <v>9.2999999999999999E-2</v>
      </c>
      <c r="M14">
        <f t="shared" si="5"/>
        <v>78.846153846153854</v>
      </c>
    </row>
    <row r="15" spans="1:18" x14ac:dyDescent="0.35">
      <c r="A15">
        <v>11</v>
      </c>
      <c r="B15">
        <v>4.8000000000000001E-2</v>
      </c>
      <c r="C15">
        <f t="shared" si="0"/>
        <v>0</v>
      </c>
      <c r="D15">
        <v>4.8000000000000001E-2</v>
      </c>
      <c r="E15">
        <f t="shared" si="1"/>
        <v>0</v>
      </c>
      <c r="F15">
        <v>4.8000000000000001E-2</v>
      </c>
      <c r="G15">
        <f t="shared" si="2"/>
        <v>0</v>
      </c>
      <c r="H15">
        <v>4.8000000000000001E-2</v>
      </c>
      <c r="I15">
        <f t="shared" si="3"/>
        <v>0</v>
      </c>
      <c r="J15" s="3">
        <v>9.5000000000000001E-2</v>
      </c>
      <c r="K15">
        <f t="shared" si="4"/>
        <v>97.916666666666657</v>
      </c>
      <c r="L15" s="3">
        <v>9.5000000000000001E-2</v>
      </c>
      <c r="M15">
        <f t="shared" si="5"/>
        <v>97.916666666666657</v>
      </c>
    </row>
    <row r="16" spans="1:18" x14ac:dyDescent="0.35">
      <c r="A16">
        <v>12</v>
      </c>
      <c r="B16">
        <v>3.5000000000000003E-2</v>
      </c>
      <c r="C16">
        <f t="shared" si="0"/>
        <v>0</v>
      </c>
      <c r="D16">
        <v>3.5000000000000003E-2</v>
      </c>
      <c r="E16">
        <f t="shared" si="1"/>
        <v>0</v>
      </c>
      <c r="F16">
        <v>3.5000000000000003E-2</v>
      </c>
      <c r="G16">
        <f t="shared" si="2"/>
        <v>0</v>
      </c>
      <c r="H16">
        <v>3.5999999999999997E-2</v>
      </c>
      <c r="I16">
        <f t="shared" si="3"/>
        <v>2.8571428571428399</v>
      </c>
      <c r="J16" s="3">
        <v>8.5999999999999993E-2</v>
      </c>
      <c r="K16">
        <f t="shared" si="4"/>
        <v>145.71428571428567</v>
      </c>
      <c r="L16" s="3">
        <v>8.5999999999999993E-2</v>
      </c>
      <c r="M16">
        <f t="shared" si="5"/>
        <v>145.71428571428567</v>
      </c>
    </row>
    <row r="17" spans="1:18" x14ac:dyDescent="0.35">
      <c r="A17">
        <v>13</v>
      </c>
      <c r="B17">
        <v>3.3000000000000002E-2</v>
      </c>
      <c r="C17">
        <f t="shared" si="0"/>
        <v>0</v>
      </c>
      <c r="D17">
        <v>3.3000000000000002E-2</v>
      </c>
      <c r="E17">
        <f t="shared" si="1"/>
        <v>0</v>
      </c>
      <c r="F17">
        <v>3.4000000000000002E-2</v>
      </c>
      <c r="G17">
        <f t="shared" si="2"/>
        <v>3.0303030303030329</v>
      </c>
      <c r="H17">
        <v>3.3000000000000002E-2</v>
      </c>
      <c r="I17">
        <f t="shared" si="3"/>
        <v>0</v>
      </c>
      <c r="J17">
        <v>3.5000000000000003E-2</v>
      </c>
      <c r="K17">
        <f t="shared" si="4"/>
        <v>6.0606060606060659</v>
      </c>
      <c r="L17">
        <v>3.5000000000000003E-2</v>
      </c>
      <c r="M17">
        <f t="shared" si="5"/>
        <v>6.0606060606060659</v>
      </c>
      <c r="N17">
        <v>3.5000000000000003E-2</v>
      </c>
      <c r="O17">
        <v>3.5000000000000003E-2</v>
      </c>
      <c r="P17">
        <v>3.5000000000000003E-2</v>
      </c>
      <c r="Q17">
        <v>6.5000000000000002E-2</v>
      </c>
      <c r="R17" s="3">
        <v>8.5000000000000006E-2</v>
      </c>
    </row>
    <row r="18" spans="1:18" x14ac:dyDescent="0.35">
      <c r="A18">
        <v>14</v>
      </c>
      <c r="B18">
        <v>4.2999999999999997E-2</v>
      </c>
      <c r="C18">
        <f t="shared" si="0"/>
        <v>0</v>
      </c>
      <c r="D18">
        <v>4.2999999999999997E-2</v>
      </c>
      <c r="E18">
        <f t="shared" si="1"/>
        <v>0</v>
      </c>
      <c r="F18">
        <v>4.2999999999999997E-2</v>
      </c>
      <c r="G18">
        <f t="shared" si="2"/>
        <v>0</v>
      </c>
      <c r="H18">
        <v>4.2999999999999997E-2</v>
      </c>
      <c r="I18">
        <f t="shared" si="3"/>
        <v>0</v>
      </c>
      <c r="J18" s="3">
        <v>8.5999999999999993E-2</v>
      </c>
      <c r="K18">
        <f t="shared" si="4"/>
        <v>100</v>
      </c>
      <c r="L18" s="3">
        <v>8.5999999999999993E-2</v>
      </c>
      <c r="M18">
        <f t="shared" si="5"/>
        <v>100</v>
      </c>
    </row>
    <row r="19" spans="1:18" x14ac:dyDescent="0.35">
      <c r="A19">
        <v>15</v>
      </c>
      <c r="B19">
        <v>3.3000000000000002E-2</v>
      </c>
      <c r="C19">
        <f t="shared" si="0"/>
        <v>0</v>
      </c>
      <c r="D19">
        <v>3.3000000000000002E-2</v>
      </c>
      <c r="E19">
        <f t="shared" si="1"/>
        <v>0</v>
      </c>
      <c r="F19">
        <v>3.3000000000000002E-2</v>
      </c>
      <c r="G19">
        <f t="shared" si="2"/>
        <v>0</v>
      </c>
      <c r="H19">
        <v>5.2999999999999999E-2</v>
      </c>
      <c r="I19">
        <f t="shared" si="3"/>
        <v>60.606060606060595</v>
      </c>
      <c r="J19" s="3">
        <v>7.2999999999999995E-2</v>
      </c>
      <c r="K19">
        <f t="shared" si="4"/>
        <v>121.21212121212119</v>
      </c>
      <c r="L19" s="3">
        <v>7.2999999999999995E-2</v>
      </c>
      <c r="M19">
        <f t="shared" si="5"/>
        <v>121.21212121212119</v>
      </c>
    </row>
    <row r="20" spans="1:18" x14ac:dyDescent="0.35">
      <c r="A20">
        <v>16</v>
      </c>
      <c r="B20">
        <v>3.2000000000000001E-2</v>
      </c>
      <c r="C20">
        <f t="shared" si="0"/>
        <v>0</v>
      </c>
      <c r="D20">
        <v>3.2000000000000001E-2</v>
      </c>
      <c r="E20">
        <f t="shared" si="1"/>
        <v>0</v>
      </c>
      <c r="F20">
        <v>3.2000000000000001E-2</v>
      </c>
      <c r="G20">
        <f t="shared" si="2"/>
        <v>0</v>
      </c>
      <c r="H20">
        <v>3.9E-2</v>
      </c>
      <c r="I20">
        <f t="shared" si="3"/>
        <v>21.874999999999996</v>
      </c>
      <c r="J20">
        <v>7.3999999999999996E-2</v>
      </c>
      <c r="K20">
        <f t="shared" si="4"/>
        <v>131.24999999999997</v>
      </c>
      <c r="L20" s="3">
        <v>0.13400000000000001</v>
      </c>
      <c r="M20">
        <f t="shared" si="5"/>
        <v>318.75</v>
      </c>
    </row>
    <row r="21" spans="1:18" x14ac:dyDescent="0.35">
      <c r="A21">
        <v>17</v>
      </c>
      <c r="B21">
        <v>2.7E-2</v>
      </c>
      <c r="C21">
        <f t="shared" si="0"/>
        <v>0</v>
      </c>
      <c r="D21">
        <v>2.7E-2</v>
      </c>
      <c r="E21">
        <f t="shared" si="1"/>
        <v>0</v>
      </c>
      <c r="F21">
        <v>2.7E-2</v>
      </c>
      <c r="G21">
        <f t="shared" si="2"/>
        <v>0</v>
      </c>
      <c r="H21">
        <v>3.3000000000000002E-2</v>
      </c>
      <c r="I21">
        <f t="shared" si="3"/>
        <v>22.222222222222229</v>
      </c>
      <c r="J21">
        <v>3.3000000000000002E-2</v>
      </c>
      <c r="K21">
        <f t="shared" si="4"/>
        <v>22.222222222222229</v>
      </c>
      <c r="L21">
        <v>3.3000000000000002E-2</v>
      </c>
      <c r="M21">
        <f t="shared" si="5"/>
        <v>22.222222222222229</v>
      </c>
      <c r="N21">
        <v>3.3000000000000002E-2</v>
      </c>
      <c r="O21">
        <v>3.3000000000000002E-2</v>
      </c>
      <c r="P21">
        <v>3.3000000000000002E-2</v>
      </c>
      <c r="Q21">
        <v>3.2000000000000001E-2</v>
      </c>
      <c r="R21">
        <v>3.2000000000000001E-2</v>
      </c>
    </row>
    <row r="22" spans="1:18" x14ac:dyDescent="0.35">
      <c r="A22">
        <v>18</v>
      </c>
      <c r="B22">
        <v>2.7E-2</v>
      </c>
      <c r="C22">
        <f t="shared" si="0"/>
        <v>0</v>
      </c>
      <c r="D22">
        <v>2.7E-2</v>
      </c>
      <c r="E22">
        <f t="shared" si="1"/>
        <v>0</v>
      </c>
      <c r="F22">
        <v>2.7E-2</v>
      </c>
      <c r="G22">
        <f t="shared" si="2"/>
        <v>0</v>
      </c>
      <c r="H22">
        <v>5.6000000000000001E-2</v>
      </c>
      <c r="I22">
        <f t="shared" si="3"/>
        <v>107.40740740740742</v>
      </c>
      <c r="J22" s="3">
        <v>7.1999999999999995E-2</v>
      </c>
      <c r="K22">
        <f t="shared" si="4"/>
        <v>166.66666666666666</v>
      </c>
      <c r="L22" s="3">
        <v>7.1999999999999995E-2</v>
      </c>
      <c r="M22">
        <f t="shared" si="5"/>
        <v>166.66666666666666</v>
      </c>
    </row>
    <row r="23" spans="1:18" x14ac:dyDescent="0.35">
      <c r="A23">
        <v>19</v>
      </c>
      <c r="B23">
        <v>3.6999999999999998E-2</v>
      </c>
      <c r="C23">
        <f t="shared" si="0"/>
        <v>0</v>
      </c>
      <c r="D23">
        <v>3.6999999999999998E-2</v>
      </c>
      <c r="E23">
        <f t="shared" si="1"/>
        <v>0</v>
      </c>
      <c r="F23">
        <v>3.6999999999999998E-2</v>
      </c>
      <c r="G23">
        <f t="shared" si="2"/>
        <v>0</v>
      </c>
      <c r="H23">
        <v>6.0999999999999999E-2</v>
      </c>
      <c r="I23">
        <f t="shared" si="3"/>
        <v>64.86486486486487</v>
      </c>
      <c r="J23" s="3">
        <v>7.4999999999999997E-2</v>
      </c>
      <c r="K23">
        <f t="shared" si="4"/>
        <v>102.70270270270269</v>
      </c>
      <c r="L23" s="3">
        <v>7.4999999999999997E-2</v>
      </c>
      <c r="M23">
        <f t="shared" si="5"/>
        <v>102.70270270270269</v>
      </c>
    </row>
    <row r="24" spans="1:18" x14ac:dyDescent="0.35">
      <c r="A24">
        <v>20</v>
      </c>
      <c r="B24">
        <v>2.5999999999999999E-2</v>
      </c>
      <c r="C24">
        <f t="shared" si="0"/>
        <v>0</v>
      </c>
      <c r="D24">
        <v>2.5999999999999999E-2</v>
      </c>
      <c r="E24">
        <f t="shared" si="1"/>
        <v>0</v>
      </c>
      <c r="F24">
        <v>2.5999999999999999E-2</v>
      </c>
      <c r="G24">
        <f t="shared" si="2"/>
        <v>0</v>
      </c>
      <c r="H24">
        <v>2.5999999999999999E-2</v>
      </c>
      <c r="I24">
        <f t="shared" si="3"/>
        <v>0</v>
      </c>
      <c r="J24" s="3">
        <v>9.2999999999999999E-2</v>
      </c>
      <c r="K24">
        <f t="shared" si="4"/>
        <v>257.69230769230774</v>
      </c>
      <c r="L24" s="3">
        <v>9.2999999999999999E-2</v>
      </c>
      <c r="M24">
        <f t="shared" si="5"/>
        <v>257.69230769230774</v>
      </c>
    </row>
    <row r="26" spans="1:18" x14ac:dyDescent="0.35">
      <c r="B26" t="s">
        <v>5</v>
      </c>
    </row>
    <row r="27" spans="1:18" x14ac:dyDescent="0.35">
      <c r="A27" t="s">
        <v>1</v>
      </c>
      <c r="B27" s="9">
        <v>45171</v>
      </c>
      <c r="C27" s="9"/>
      <c r="D27" s="10"/>
      <c r="E27" s="10"/>
      <c r="F27" s="10"/>
      <c r="G27" s="8"/>
      <c r="H27" s="1">
        <v>45201</v>
      </c>
      <c r="I27" s="1"/>
      <c r="J27" s="1">
        <v>45232</v>
      </c>
      <c r="L27" s="1">
        <v>45262</v>
      </c>
    </row>
    <row r="28" spans="1:18" x14ac:dyDescent="0.35">
      <c r="A28" t="s">
        <v>4</v>
      </c>
      <c r="B28" s="2">
        <v>0.36458333333333331</v>
      </c>
      <c r="C28" s="2"/>
      <c r="D28" s="2">
        <v>0.48958333333333331</v>
      </c>
      <c r="E28" s="2"/>
      <c r="F28" s="2">
        <v>0.61458333333333337</v>
      </c>
      <c r="G28" s="2"/>
      <c r="H28" s="2">
        <v>0.36458333333333331</v>
      </c>
      <c r="I28" s="2"/>
      <c r="J28" s="2">
        <v>0.36458333333333331</v>
      </c>
      <c r="K28" s="2"/>
    </row>
    <row r="29" spans="1:18" x14ac:dyDescent="0.35">
      <c r="A29">
        <v>1</v>
      </c>
      <c r="B29">
        <v>4.4999999999999998E-2</v>
      </c>
      <c r="C29">
        <f>(B29-B29)/B29 *100</f>
        <v>0</v>
      </c>
      <c r="D29">
        <v>5.3999999999999999E-2</v>
      </c>
      <c r="E29">
        <f>(D29-B29)/B29 *100</f>
        <v>20.000000000000004</v>
      </c>
      <c r="F29">
        <v>6.3E-2</v>
      </c>
      <c r="G29">
        <f>(F29-B29)/B29 *100</f>
        <v>40.000000000000007</v>
      </c>
      <c r="H29">
        <v>8.7999999999999995E-2</v>
      </c>
      <c r="I29">
        <f>(H29-B29)/B29 *100</f>
        <v>95.555555555555543</v>
      </c>
      <c r="J29" s="3">
        <v>0.113</v>
      </c>
      <c r="K29">
        <f>(J29-B29)/B29 *100</f>
        <v>151.11111111111114</v>
      </c>
      <c r="L29" s="3">
        <v>0.113</v>
      </c>
      <c r="M29">
        <f>(L29-B29)/B29 *100</f>
        <v>151.11111111111114</v>
      </c>
    </row>
    <row r="30" spans="1:18" x14ac:dyDescent="0.35">
      <c r="A30">
        <v>2</v>
      </c>
      <c r="B30">
        <v>4.4999999999999998E-2</v>
      </c>
      <c r="C30">
        <f t="shared" ref="C30:C48" si="6">(B30-B30)/B30 *100</f>
        <v>0</v>
      </c>
      <c r="D30">
        <v>6.7000000000000004E-2</v>
      </c>
      <c r="E30">
        <f t="shared" ref="E30:E48" si="7">(D30-B30)/B30 *100</f>
        <v>48.888888888888907</v>
      </c>
      <c r="F30">
        <v>7.6999999999999999E-2</v>
      </c>
      <c r="G30">
        <f t="shared" ref="G30:G48" si="8">(F30-B30)/B30 *100</f>
        <v>71.111111111111114</v>
      </c>
      <c r="H30">
        <v>7.4999999999999997E-2</v>
      </c>
      <c r="I30">
        <f t="shared" ref="I30:I48" si="9">(H30-B30)/B30 *100</f>
        <v>66.666666666666657</v>
      </c>
      <c r="J30" s="3">
        <v>9.4E-2</v>
      </c>
      <c r="K30">
        <f t="shared" ref="K30:K48" si="10">(J30-B30)/B30 *100</f>
        <v>108.8888888888889</v>
      </c>
      <c r="L30" s="3">
        <v>9.4E-2</v>
      </c>
      <c r="M30">
        <f t="shared" ref="M30:M48" si="11">(L30-B30)/B30 *100</f>
        <v>108.8888888888889</v>
      </c>
    </row>
    <row r="31" spans="1:18" x14ac:dyDescent="0.35">
      <c r="A31">
        <v>3</v>
      </c>
      <c r="B31">
        <v>3.5999999999999997E-2</v>
      </c>
      <c r="C31">
        <f t="shared" si="6"/>
        <v>0</v>
      </c>
      <c r="D31">
        <v>4.1000000000000002E-2</v>
      </c>
      <c r="E31">
        <f t="shared" si="7"/>
        <v>13.888888888888903</v>
      </c>
      <c r="F31">
        <v>4.9000000000000002E-2</v>
      </c>
      <c r="G31">
        <f t="shared" si="8"/>
        <v>36.111111111111128</v>
      </c>
      <c r="H31">
        <v>6.4000000000000001E-2</v>
      </c>
      <c r="I31">
        <f t="shared" si="9"/>
        <v>77.777777777777786</v>
      </c>
      <c r="J31" s="3">
        <v>9.9000000000000005E-2</v>
      </c>
      <c r="K31">
        <f t="shared" si="10"/>
        <v>175.00000000000003</v>
      </c>
      <c r="L31" s="3">
        <v>9.9000000000000005E-2</v>
      </c>
      <c r="M31">
        <f t="shared" si="11"/>
        <v>175.00000000000003</v>
      </c>
    </row>
    <row r="32" spans="1:18" x14ac:dyDescent="0.35">
      <c r="A32">
        <v>4</v>
      </c>
      <c r="B32">
        <v>2.9000000000000001E-2</v>
      </c>
      <c r="C32">
        <f t="shared" si="6"/>
        <v>0</v>
      </c>
      <c r="D32">
        <v>3.9E-2</v>
      </c>
      <c r="E32">
        <f t="shared" si="7"/>
        <v>34.482758620689644</v>
      </c>
      <c r="F32">
        <v>4.7E-2</v>
      </c>
      <c r="G32">
        <f t="shared" si="8"/>
        <v>62.068965517241367</v>
      </c>
      <c r="H32">
        <v>6.7000000000000004E-2</v>
      </c>
      <c r="I32">
        <f t="shared" si="9"/>
        <v>131.0344827586207</v>
      </c>
      <c r="J32" s="3">
        <v>0.105</v>
      </c>
      <c r="K32">
        <f t="shared" si="10"/>
        <v>262.06896551724139</v>
      </c>
      <c r="L32" s="3">
        <v>0.105</v>
      </c>
      <c r="M32">
        <f t="shared" si="11"/>
        <v>262.06896551724139</v>
      </c>
    </row>
    <row r="33" spans="1:13" x14ac:dyDescent="0.35">
      <c r="A33">
        <v>5</v>
      </c>
      <c r="B33">
        <v>2.1000000000000001E-2</v>
      </c>
      <c r="C33">
        <f t="shared" si="6"/>
        <v>0</v>
      </c>
      <c r="D33">
        <v>0.04</v>
      </c>
      <c r="E33">
        <f t="shared" si="7"/>
        <v>90.476190476190467</v>
      </c>
      <c r="F33">
        <v>0.04</v>
      </c>
      <c r="G33">
        <f t="shared" si="8"/>
        <v>90.476190476190467</v>
      </c>
      <c r="H33">
        <v>7.6999999999999999E-2</v>
      </c>
      <c r="I33">
        <f t="shared" si="9"/>
        <v>266.66666666666663</v>
      </c>
      <c r="J33" s="3">
        <v>0.107</v>
      </c>
      <c r="K33">
        <f t="shared" si="10"/>
        <v>409.52380952380952</v>
      </c>
      <c r="L33" s="3">
        <v>0.107</v>
      </c>
      <c r="M33">
        <f t="shared" si="11"/>
        <v>409.52380952380952</v>
      </c>
    </row>
    <row r="34" spans="1:13" x14ac:dyDescent="0.35">
      <c r="A34">
        <v>6</v>
      </c>
      <c r="B34">
        <v>3.2000000000000001E-2</v>
      </c>
      <c r="C34">
        <f t="shared" si="6"/>
        <v>0</v>
      </c>
      <c r="D34">
        <v>5.3999999999999999E-2</v>
      </c>
      <c r="E34">
        <f t="shared" si="7"/>
        <v>68.75</v>
      </c>
      <c r="F34">
        <v>5.6000000000000001E-2</v>
      </c>
      <c r="G34">
        <f t="shared" si="8"/>
        <v>75</v>
      </c>
      <c r="H34">
        <v>7.2999999999999995E-2</v>
      </c>
      <c r="I34">
        <f t="shared" si="9"/>
        <v>128.12499999999997</v>
      </c>
      <c r="J34">
        <v>7.6999999999999999E-2</v>
      </c>
      <c r="K34">
        <f t="shared" si="10"/>
        <v>140.625</v>
      </c>
      <c r="L34" s="3">
        <v>9.1999999999999998E-2</v>
      </c>
      <c r="M34">
        <f t="shared" si="11"/>
        <v>187.5</v>
      </c>
    </row>
    <row r="35" spans="1:13" x14ac:dyDescent="0.35">
      <c r="A35">
        <v>7</v>
      </c>
      <c r="B35">
        <v>4.3999999999999997E-2</v>
      </c>
      <c r="C35">
        <f t="shared" si="6"/>
        <v>0</v>
      </c>
      <c r="D35">
        <v>4.5999999999999999E-2</v>
      </c>
      <c r="E35">
        <f t="shared" si="7"/>
        <v>4.5454545454545494</v>
      </c>
      <c r="F35">
        <v>6.4000000000000001E-2</v>
      </c>
      <c r="G35">
        <f t="shared" si="8"/>
        <v>45.454545454545467</v>
      </c>
      <c r="H35" s="3">
        <v>9.6000000000000002E-2</v>
      </c>
      <c r="I35">
        <f t="shared" si="9"/>
        <v>118.18181818181822</v>
      </c>
      <c r="J35" s="3">
        <v>9.6000000000000002E-2</v>
      </c>
      <c r="K35">
        <f t="shared" si="10"/>
        <v>118.18181818181822</v>
      </c>
      <c r="L35" s="3">
        <v>9.6000000000000002E-2</v>
      </c>
      <c r="M35">
        <f t="shared" si="11"/>
        <v>118.18181818181822</v>
      </c>
    </row>
    <row r="36" spans="1:13" x14ac:dyDescent="0.35">
      <c r="A36">
        <v>8</v>
      </c>
      <c r="B36">
        <v>3.4000000000000002E-2</v>
      </c>
      <c r="C36">
        <f t="shared" si="6"/>
        <v>0</v>
      </c>
      <c r="D36">
        <v>5.5E-2</v>
      </c>
      <c r="E36">
        <f t="shared" si="7"/>
        <v>61.764705882352935</v>
      </c>
      <c r="F36">
        <v>5.5E-2</v>
      </c>
      <c r="G36">
        <f t="shared" si="8"/>
        <v>61.764705882352935</v>
      </c>
      <c r="H36" s="3">
        <v>9.5000000000000001E-2</v>
      </c>
      <c r="I36">
        <f t="shared" si="9"/>
        <v>179.41176470588235</v>
      </c>
      <c r="J36" s="3">
        <v>9.5000000000000001E-2</v>
      </c>
      <c r="K36">
        <f t="shared" si="10"/>
        <v>179.41176470588235</v>
      </c>
      <c r="L36" s="3">
        <v>9.5000000000000001E-2</v>
      </c>
      <c r="M36">
        <f t="shared" si="11"/>
        <v>179.41176470588235</v>
      </c>
    </row>
    <row r="37" spans="1:13" x14ac:dyDescent="0.35">
      <c r="A37">
        <v>9</v>
      </c>
      <c r="B37">
        <v>4.7E-2</v>
      </c>
      <c r="C37">
        <f t="shared" si="6"/>
        <v>0</v>
      </c>
      <c r="D37">
        <v>4.9000000000000002E-2</v>
      </c>
      <c r="E37">
        <f t="shared" si="7"/>
        <v>4.2553191489361746</v>
      </c>
      <c r="F37">
        <v>0.63</v>
      </c>
      <c r="G37">
        <f t="shared" si="8"/>
        <v>1240.4255319148936</v>
      </c>
      <c r="H37">
        <v>7.0999999999999994E-2</v>
      </c>
      <c r="I37">
        <f t="shared" si="9"/>
        <v>51.063829787234027</v>
      </c>
      <c r="J37" s="3">
        <v>9.9000000000000005E-2</v>
      </c>
      <c r="K37">
        <f t="shared" si="10"/>
        <v>110.63829787234043</v>
      </c>
      <c r="L37" s="3">
        <v>9.9000000000000005E-2</v>
      </c>
      <c r="M37">
        <f t="shared" si="11"/>
        <v>110.63829787234043</v>
      </c>
    </row>
    <row r="38" spans="1:13" x14ac:dyDescent="0.35">
      <c r="A38">
        <v>10</v>
      </c>
      <c r="B38">
        <v>4.2999999999999997E-2</v>
      </c>
      <c r="C38">
        <f t="shared" si="6"/>
        <v>0</v>
      </c>
      <c r="D38">
        <v>4.8000000000000001E-2</v>
      </c>
      <c r="E38">
        <f t="shared" si="7"/>
        <v>11.627906976744198</v>
      </c>
      <c r="F38">
        <v>6.6000000000000003E-2</v>
      </c>
      <c r="G38">
        <f t="shared" si="8"/>
        <v>53.488372093023273</v>
      </c>
      <c r="H38">
        <v>6.2E-2</v>
      </c>
      <c r="I38">
        <f t="shared" si="9"/>
        <v>44.186046511627922</v>
      </c>
      <c r="J38" s="3">
        <v>7.8E-2</v>
      </c>
      <c r="K38">
        <f t="shared" si="10"/>
        <v>81.395348837209312</v>
      </c>
      <c r="L38" s="3">
        <v>7.8E-2</v>
      </c>
      <c r="M38">
        <f t="shared" si="11"/>
        <v>81.395348837209312</v>
      </c>
    </row>
    <row r="39" spans="1:13" x14ac:dyDescent="0.35">
      <c r="A39">
        <v>11</v>
      </c>
      <c r="B39">
        <v>3.5000000000000003E-2</v>
      </c>
      <c r="C39">
        <f t="shared" si="6"/>
        <v>0</v>
      </c>
      <c r="D39">
        <v>3.6999999999999998E-2</v>
      </c>
      <c r="E39">
        <f t="shared" si="7"/>
        <v>5.7142857142856984</v>
      </c>
      <c r="F39">
        <v>5.6000000000000001E-2</v>
      </c>
      <c r="G39">
        <f t="shared" si="8"/>
        <v>59.999999999999986</v>
      </c>
      <c r="H39">
        <v>5.0999999999999997E-2</v>
      </c>
      <c r="I39">
        <f t="shared" si="9"/>
        <v>45.714285714285694</v>
      </c>
      <c r="J39" s="3">
        <v>0.11600000000000001</v>
      </c>
      <c r="K39">
        <f t="shared" si="10"/>
        <v>231.42857142857142</v>
      </c>
      <c r="L39" s="3">
        <v>0.11600000000000001</v>
      </c>
      <c r="M39">
        <f t="shared" si="11"/>
        <v>231.42857142857142</v>
      </c>
    </row>
    <row r="40" spans="1:13" x14ac:dyDescent="0.35">
      <c r="A40">
        <v>12</v>
      </c>
      <c r="B40">
        <v>3.9E-2</v>
      </c>
      <c r="C40">
        <f t="shared" si="6"/>
        <v>0</v>
      </c>
      <c r="D40">
        <v>4.5999999999999999E-2</v>
      </c>
      <c r="E40">
        <f t="shared" si="7"/>
        <v>17.948717948717945</v>
      </c>
      <c r="F40">
        <v>5.5E-2</v>
      </c>
      <c r="G40">
        <f t="shared" si="8"/>
        <v>41.025641025641022</v>
      </c>
      <c r="H40">
        <v>8.5999999999999993E-2</v>
      </c>
      <c r="I40">
        <f t="shared" si="9"/>
        <v>120.51282051282051</v>
      </c>
      <c r="J40" s="3">
        <v>8.7999999999999995E-2</v>
      </c>
      <c r="K40">
        <f t="shared" si="10"/>
        <v>125.64102564102564</v>
      </c>
      <c r="L40" s="3">
        <v>8.7999999999999995E-2</v>
      </c>
      <c r="M40">
        <f t="shared" si="11"/>
        <v>125.64102564102564</v>
      </c>
    </row>
    <row r="41" spans="1:13" x14ac:dyDescent="0.35">
      <c r="A41">
        <v>13</v>
      </c>
      <c r="B41">
        <v>3.6999999999999998E-2</v>
      </c>
      <c r="C41">
        <f t="shared" si="6"/>
        <v>0</v>
      </c>
      <c r="D41">
        <v>4.2999999999999997E-2</v>
      </c>
      <c r="E41">
        <f t="shared" si="7"/>
        <v>16.21621621621621</v>
      </c>
      <c r="F41">
        <v>4.4999999999999998E-2</v>
      </c>
      <c r="G41">
        <f t="shared" si="8"/>
        <v>21.621621621621621</v>
      </c>
      <c r="H41">
        <v>6.6000000000000003E-2</v>
      </c>
      <c r="I41">
        <f t="shared" si="9"/>
        <v>78.3783783783784</v>
      </c>
      <c r="J41" s="3">
        <v>6.2E-2</v>
      </c>
      <c r="K41">
        <f t="shared" si="10"/>
        <v>67.567567567567579</v>
      </c>
      <c r="L41" s="3">
        <v>6.2E-2</v>
      </c>
      <c r="M41">
        <f t="shared" si="11"/>
        <v>67.567567567567579</v>
      </c>
    </row>
    <row r="42" spans="1:13" x14ac:dyDescent="0.35">
      <c r="A42">
        <v>14</v>
      </c>
      <c r="B42">
        <v>3.6999999999999998E-2</v>
      </c>
      <c r="C42">
        <f t="shared" si="6"/>
        <v>0</v>
      </c>
      <c r="D42">
        <v>4.9000000000000002E-2</v>
      </c>
      <c r="E42">
        <f t="shared" si="7"/>
        <v>32.432432432432442</v>
      </c>
      <c r="F42">
        <v>5.8999999999999997E-2</v>
      </c>
      <c r="G42">
        <f t="shared" si="8"/>
        <v>59.45945945945946</v>
      </c>
      <c r="H42">
        <v>8.5999999999999993E-2</v>
      </c>
      <c r="I42">
        <f t="shared" si="9"/>
        <v>132.43243243243242</v>
      </c>
      <c r="J42" s="3">
        <v>0.11</v>
      </c>
      <c r="K42">
        <f t="shared" si="10"/>
        <v>197.29729729729732</v>
      </c>
      <c r="L42" s="3">
        <v>0.11</v>
      </c>
      <c r="M42">
        <f t="shared" si="11"/>
        <v>197.29729729729732</v>
      </c>
    </row>
    <row r="43" spans="1:13" x14ac:dyDescent="0.35">
      <c r="A43">
        <v>15</v>
      </c>
      <c r="B43">
        <v>3.5000000000000003E-2</v>
      </c>
      <c r="C43">
        <f t="shared" si="6"/>
        <v>0</v>
      </c>
      <c r="D43">
        <v>6.8000000000000005E-2</v>
      </c>
      <c r="E43">
        <f t="shared" si="7"/>
        <v>94.285714285714278</v>
      </c>
      <c r="F43">
        <v>7.8E-2</v>
      </c>
      <c r="G43">
        <f t="shared" si="8"/>
        <v>122.85714285714285</v>
      </c>
      <c r="H43">
        <v>8.6999999999999994E-2</v>
      </c>
      <c r="I43">
        <f t="shared" si="9"/>
        <v>148.57142857142853</v>
      </c>
      <c r="J43" s="3">
        <v>0.11799999999999999</v>
      </c>
      <c r="K43">
        <f t="shared" si="10"/>
        <v>237.14285714285711</v>
      </c>
      <c r="L43" s="3">
        <v>0.11799999999999999</v>
      </c>
      <c r="M43">
        <f t="shared" si="11"/>
        <v>237.14285714285711</v>
      </c>
    </row>
    <row r="44" spans="1:13" x14ac:dyDescent="0.35">
      <c r="A44">
        <v>16</v>
      </c>
      <c r="B44">
        <v>3.1E-2</v>
      </c>
      <c r="C44">
        <f t="shared" si="6"/>
        <v>0</v>
      </c>
      <c r="D44">
        <v>4.1000000000000002E-2</v>
      </c>
      <c r="E44">
        <f t="shared" si="7"/>
        <v>32.258064516129039</v>
      </c>
      <c r="F44">
        <v>5.8999999999999997E-2</v>
      </c>
      <c r="G44">
        <f t="shared" si="8"/>
        <v>90.322580645161281</v>
      </c>
      <c r="H44" s="3">
        <v>7.6999999999999999E-2</v>
      </c>
      <c r="I44">
        <f t="shared" si="9"/>
        <v>148.38709677419354</v>
      </c>
      <c r="J44" s="3">
        <v>7.6999999999999999E-2</v>
      </c>
      <c r="K44">
        <f t="shared" si="10"/>
        <v>148.38709677419354</v>
      </c>
      <c r="L44" s="3">
        <v>7.6999999999999999E-2</v>
      </c>
      <c r="M44">
        <f t="shared" si="11"/>
        <v>148.38709677419354</v>
      </c>
    </row>
    <row r="45" spans="1:13" x14ac:dyDescent="0.35">
      <c r="A45">
        <v>17</v>
      </c>
      <c r="B45">
        <v>4.7E-2</v>
      </c>
      <c r="C45">
        <f t="shared" si="6"/>
        <v>0</v>
      </c>
      <c r="D45">
        <v>4.9000000000000002E-2</v>
      </c>
      <c r="E45">
        <f t="shared" si="7"/>
        <v>4.2553191489361746</v>
      </c>
      <c r="F45">
        <v>4.9000000000000002E-2</v>
      </c>
      <c r="G45">
        <f t="shared" si="8"/>
        <v>4.2553191489361746</v>
      </c>
      <c r="H45">
        <v>6.4000000000000001E-2</v>
      </c>
      <c r="I45">
        <f t="shared" si="9"/>
        <v>36.170212765957451</v>
      </c>
      <c r="J45" s="3">
        <v>6.4000000000000001E-2</v>
      </c>
      <c r="K45">
        <f t="shared" si="10"/>
        <v>36.170212765957451</v>
      </c>
      <c r="L45" s="3">
        <v>6.4000000000000001E-2</v>
      </c>
      <c r="M45">
        <f t="shared" si="11"/>
        <v>36.170212765957451</v>
      </c>
    </row>
    <row r="46" spans="1:13" x14ac:dyDescent="0.35">
      <c r="A46">
        <v>18</v>
      </c>
      <c r="B46">
        <v>3.1E-2</v>
      </c>
      <c r="C46">
        <f t="shared" si="6"/>
        <v>0</v>
      </c>
      <c r="D46">
        <v>4.1000000000000002E-2</v>
      </c>
      <c r="E46">
        <f t="shared" si="7"/>
        <v>32.258064516129039</v>
      </c>
      <c r="F46">
        <v>4.9000000000000002E-2</v>
      </c>
      <c r="G46">
        <f t="shared" si="8"/>
        <v>58.064516129032263</v>
      </c>
      <c r="H46">
        <v>8.3000000000000004E-2</v>
      </c>
      <c r="I46">
        <f t="shared" si="9"/>
        <v>167.74193548387098</v>
      </c>
      <c r="J46" s="3">
        <v>8.8999999999999996E-2</v>
      </c>
      <c r="K46">
        <f t="shared" si="10"/>
        <v>187.09677419354838</v>
      </c>
      <c r="L46" s="3">
        <v>8.8999999999999996E-2</v>
      </c>
      <c r="M46">
        <f t="shared" si="11"/>
        <v>187.09677419354838</v>
      </c>
    </row>
    <row r="47" spans="1:13" x14ac:dyDescent="0.35">
      <c r="A47">
        <v>19</v>
      </c>
      <c r="B47">
        <v>3.5000000000000003E-2</v>
      </c>
      <c r="C47">
        <f t="shared" si="6"/>
        <v>0</v>
      </c>
      <c r="D47">
        <v>3.9E-2</v>
      </c>
      <c r="E47">
        <f t="shared" si="7"/>
        <v>11.428571428571418</v>
      </c>
      <c r="F47">
        <v>4.3999999999999997E-2</v>
      </c>
      <c r="G47">
        <f t="shared" si="8"/>
        <v>25.714285714285694</v>
      </c>
      <c r="H47" s="3">
        <v>6.4000000000000001E-2</v>
      </c>
      <c r="I47">
        <f t="shared" si="9"/>
        <v>82.857142857142847</v>
      </c>
      <c r="J47" s="3">
        <v>6.4000000000000001E-2</v>
      </c>
      <c r="K47">
        <f t="shared" si="10"/>
        <v>82.857142857142847</v>
      </c>
      <c r="L47" s="3">
        <v>6.4000000000000001E-2</v>
      </c>
      <c r="M47">
        <f t="shared" si="11"/>
        <v>82.857142857142847</v>
      </c>
    </row>
    <row r="48" spans="1:13" x14ac:dyDescent="0.35">
      <c r="A48">
        <v>20</v>
      </c>
      <c r="B48">
        <v>2.5000000000000001E-2</v>
      </c>
      <c r="C48">
        <f t="shared" si="6"/>
        <v>0</v>
      </c>
      <c r="D48">
        <v>3.9E-2</v>
      </c>
      <c r="E48">
        <f t="shared" si="7"/>
        <v>55.999999999999993</v>
      </c>
      <c r="F48">
        <v>3.9E-2</v>
      </c>
      <c r="G48">
        <f t="shared" si="8"/>
        <v>55.999999999999993</v>
      </c>
      <c r="H48" s="3">
        <v>8.5999999999999993E-2</v>
      </c>
      <c r="I48">
        <f t="shared" si="9"/>
        <v>243.99999999999994</v>
      </c>
      <c r="J48" s="3">
        <v>8.5999999999999993E-2</v>
      </c>
      <c r="K48">
        <f t="shared" si="10"/>
        <v>243.99999999999994</v>
      </c>
      <c r="L48" s="3">
        <v>8.5999999999999993E-2</v>
      </c>
      <c r="M48">
        <f t="shared" si="11"/>
        <v>243.99999999999994</v>
      </c>
    </row>
  </sheetData>
  <mergeCells count="2">
    <mergeCell ref="B3:F3"/>
    <mergeCell ref="B27:F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5E52-C296-4AF1-AB8E-6AC21ACCE742}">
  <dimension ref="A1:P53"/>
  <sheetViews>
    <sheetView topLeftCell="C1" workbookViewId="0">
      <selection activeCell="P10" sqref="P10"/>
    </sheetView>
  </sheetViews>
  <sheetFormatPr defaultRowHeight="14.5" x14ac:dyDescent="0.35"/>
  <sheetData>
    <row r="1" spans="1:16" x14ac:dyDescent="0.35">
      <c r="A1" t="s">
        <v>0</v>
      </c>
    </row>
    <row r="3" spans="1:16" x14ac:dyDescent="0.35">
      <c r="G3" t="s">
        <v>15</v>
      </c>
      <c r="K3">
        <v>0</v>
      </c>
      <c r="L3">
        <v>3</v>
      </c>
      <c r="M3">
        <v>6</v>
      </c>
      <c r="N3">
        <v>24</v>
      </c>
      <c r="O3">
        <v>48</v>
      </c>
      <c r="P3">
        <v>72</v>
      </c>
    </row>
    <row r="4" spans="1:16" x14ac:dyDescent="0.35">
      <c r="A4" t="s">
        <v>4</v>
      </c>
      <c r="B4">
        <v>0</v>
      </c>
      <c r="C4">
        <v>3</v>
      </c>
      <c r="D4">
        <v>6</v>
      </c>
      <c r="E4">
        <v>24</v>
      </c>
      <c r="F4">
        <v>48</v>
      </c>
      <c r="G4">
        <v>72</v>
      </c>
      <c r="J4" t="s">
        <v>22</v>
      </c>
      <c r="K4">
        <v>0</v>
      </c>
      <c r="L4">
        <v>0</v>
      </c>
      <c r="M4">
        <v>0.27651515151515171</v>
      </c>
      <c r="N4">
        <v>25.741322710072712</v>
      </c>
      <c r="O4">
        <v>116.0204389652919</v>
      </c>
      <c r="P4">
        <v>131.2704389652919</v>
      </c>
    </row>
    <row r="5" spans="1:16" x14ac:dyDescent="0.35">
      <c r="A5">
        <v>1</v>
      </c>
      <c r="B5">
        <v>0</v>
      </c>
      <c r="C5">
        <v>0</v>
      </c>
      <c r="D5">
        <v>0</v>
      </c>
      <c r="E5">
        <v>6.2499999999999911</v>
      </c>
      <c r="F5">
        <v>143.75</v>
      </c>
      <c r="G5">
        <v>143.75</v>
      </c>
      <c r="J5" t="s">
        <v>5</v>
      </c>
      <c r="K5">
        <v>0</v>
      </c>
      <c r="L5">
        <v>33.073874981763907</v>
      </c>
      <c r="M5">
        <v>115.76105500808748</v>
      </c>
      <c r="N5">
        <v>118.17176710511801</v>
      </c>
      <c r="O5">
        <v>164.72167751532311</v>
      </c>
      <c r="P5">
        <v>167.06542751532311</v>
      </c>
    </row>
    <row r="6" spans="1:16" x14ac:dyDescent="0.35">
      <c r="A6">
        <v>2</v>
      </c>
      <c r="B6">
        <v>0</v>
      </c>
      <c r="C6">
        <v>0</v>
      </c>
      <c r="D6">
        <v>0</v>
      </c>
      <c r="E6">
        <v>0</v>
      </c>
      <c r="F6">
        <v>164.70588235294116</v>
      </c>
      <c r="G6">
        <v>164.70588235294116</v>
      </c>
    </row>
    <row r="7" spans="1:16" x14ac:dyDescent="0.35">
      <c r="A7">
        <v>3</v>
      </c>
      <c r="B7">
        <v>0</v>
      </c>
      <c r="C7">
        <v>0</v>
      </c>
      <c r="D7">
        <v>0</v>
      </c>
      <c r="E7">
        <v>22.727272727272734</v>
      </c>
      <c r="F7">
        <v>90.909090909090935</v>
      </c>
      <c r="G7">
        <v>90.909090909090935</v>
      </c>
    </row>
    <row r="8" spans="1:16" x14ac:dyDescent="0.35">
      <c r="A8">
        <v>4</v>
      </c>
      <c r="B8">
        <v>0</v>
      </c>
      <c r="C8">
        <v>0</v>
      </c>
      <c r="D8">
        <v>0</v>
      </c>
      <c r="E8">
        <v>84.999999999999986</v>
      </c>
      <c r="F8">
        <v>112.5</v>
      </c>
      <c r="G8">
        <v>112.5</v>
      </c>
    </row>
    <row r="9" spans="1:16" x14ac:dyDescent="0.35">
      <c r="A9">
        <v>5</v>
      </c>
      <c r="B9">
        <v>0</v>
      </c>
      <c r="C9">
        <v>0</v>
      </c>
      <c r="D9">
        <v>0</v>
      </c>
      <c r="E9">
        <v>14.285714285714283</v>
      </c>
      <c r="F9">
        <v>130.95238095238096</v>
      </c>
      <c r="G9">
        <v>130.95238095238096</v>
      </c>
    </row>
    <row r="10" spans="1:16" x14ac:dyDescent="0.35">
      <c r="A10">
        <v>6</v>
      </c>
      <c r="B10">
        <v>0</v>
      </c>
      <c r="C10">
        <v>0</v>
      </c>
      <c r="D10">
        <v>0</v>
      </c>
      <c r="E10">
        <v>60</v>
      </c>
      <c r="F10">
        <v>185.00000000000003</v>
      </c>
      <c r="G10">
        <v>185.00000000000003</v>
      </c>
    </row>
    <row r="11" spans="1:16" x14ac:dyDescent="0.35">
      <c r="A11">
        <v>7</v>
      </c>
      <c r="B11">
        <v>0</v>
      </c>
      <c r="C11">
        <v>0</v>
      </c>
      <c r="D11">
        <v>0</v>
      </c>
      <c r="E11">
        <v>36.538461538461533</v>
      </c>
      <c r="F11">
        <v>42.307692307692307</v>
      </c>
      <c r="G11">
        <v>42.307692307692307</v>
      </c>
    </row>
    <row r="12" spans="1:16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29.999999999999993</v>
      </c>
      <c r="G12">
        <v>147.5</v>
      </c>
    </row>
    <row r="13" spans="1:16" x14ac:dyDescent="0.35">
      <c r="A13">
        <v>9</v>
      </c>
      <c r="B13">
        <v>0</v>
      </c>
      <c r="C13">
        <v>0</v>
      </c>
      <c r="D13">
        <v>2.5000000000000022</v>
      </c>
      <c r="E13">
        <v>2.5000000000000022</v>
      </c>
      <c r="F13">
        <v>190.00000000000003</v>
      </c>
      <c r="G13">
        <v>190.00000000000003</v>
      </c>
    </row>
    <row r="14" spans="1:16" x14ac:dyDescent="0.35">
      <c r="A14">
        <v>10</v>
      </c>
      <c r="B14">
        <v>0</v>
      </c>
      <c r="C14">
        <v>0</v>
      </c>
      <c r="D14">
        <v>0</v>
      </c>
      <c r="E14">
        <v>7.6923076923076996</v>
      </c>
      <c r="F14">
        <v>78.846153846153854</v>
      </c>
      <c r="G14">
        <v>78.846153846153854</v>
      </c>
    </row>
    <row r="15" spans="1:16" x14ac:dyDescent="0.35">
      <c r="A15">
        <v>11</v>
      </c>
      <c r="B15">
        <v>0</v>
      </c>
      <c r="C15">
        <v>0</v>
      </c>
      <c r="D15">
        <v>0</v>
      </c>
      <c r="E15">
        <v>0</v>
      </c>
      <c r="F15">
        <v>97.916666666666657</v>
      </c>
      <c r="G15">
        <v>97.916666666666657</v>
      </c>
      <c r="K15">
        <v>0</v>
      </c>
      <c r="L15">
        <v>0</v>
      </c>
      <c r="M15">
        <v>0.37490973411378092</v>
      </c>
      <c r="N15">
        <v>14.265558384912953</v>
      </c>
      <c r="O15">
        <v>27.329049450812366</v>
      </c>
      <c r="P15">
        <v>32.376154907079957</v>
      </c>
    </row>
    <row r="16" spans="1:16" x14ac:dyDescent="0.35">
      <c r="A16">
        <v>12</v>
      </c>
      <c r="B16">
        <v>0</v>
      </c>
      <c r="C16">
        <v>0</v>
      </c>
      <c r="D16">
        <v>0</v>
      </c>
      <c r="E16">
        <v>2.8571428571428399</v>
      </c>
      <c r="F16">
        <v>145.71428571428567</v>
      </c>
      <c r="G16">
        <v>145.71428571428567</v>
      </c>
      <c r="K16">
        <v>0</v>
      </c>
      <c r="L16">
        <v>12.363930074369124</v>
      </c>
      <c r="M16">
        <v>116.59569273357921</v>
      </c>
      <c r="N16">
        <v>27.714896493577587</v>
      </c>
      <c r="O16">
        <v>37.303102173686419</v>
      </c>
      <c r="P16">
        <v>37.279834061678642</v>
      </c>
    </row>
    <row r="17" spans="1:7" x14ac:dyDescent="0.35">
      <c r="A17">
        <v>13</v>
      </c>
      <c r="B17">
        <v>0</v>
      </c>
      <c r="C17">
        <v>0</v>
      </c>
      <c r="D17">
        <v>3.0303030303030329</v>
      </c>
      <c r="E17">
        <v>0</v>
      </c>
      <c r="F17">
        <v>6.0606060606060659</v>
      </c>
      <c r="G17">
        <v>6.0606060606060659</v>
      </c>
    </row>
    <row r="18" spans="1:7" x14ac:dyDescent="0.35">
      <c r="A18">
        <v>14</v>
      </c>
      <c r="B18">
        <v>0</v>
      </c>
      <c r="C18">
        <v>0</v>
      </c>
      <c r="D18">
        <v>0</v>
      </c>
      <c r="E18">
        <v>0</v>
      </c>
      <c r="F18">
        <v>100</v>
      </c>
      <c r="G18">
        <v>100</v>
      </c>
    </row>
    <row r="19" spans="1:7" x14ac:dyDescent="0.35">
      <c r="A19">
        <v>15</v>
      </c>
      <c r="B19">
        <v>0</v>
      </c>
      <c r="C19">
        <v>0</v>
      </c>
      <c r="D19">
        <v>0</v>
      </c>
      <c r="E19">
        <v>60.606060606060595</v>
      </c>
      <c r="F19">
        <v>121.21212121212119</v>
      </c>
      <c r="G19">
        <v>121.21212121212119</v>
      </c>
    </row>
    <row r="20" spans="1:7" x14ac:dyDescent="0.35">
      <c r="A20">
        <v>16</v>
      </c>
      <c r="B20">
        <v>0</v>
      </c>
      <c r="C20">
        <v>0</v>
      </c>
      <c r="D20">
        <v>0</v>
      </c>
      <c r="E20">
        <v>21.874999999999996</v>
      </c>
      <c r="F20">
        <v>131.24999999999997</v>
      </c>
      <c r="G20">
        <v>318.75</v>
      </c>
    </row>
    <row r="21" spans="1:7" x14ac:dyDescent="0.35">
      <c r="A21">
        <v>17</v>
      </c>
      <c r="B21">
        <v>0</v>
      </c>
      <c r="C21">
        <v>0</v>
      </c>
      <c r="D21">
        <v>0</v>
      </c>
      <c r="E21">
        <v>22.222222222222229</v>
      </c>
      <c r="F21">
        <v>22.222222222222229</v>
      </c>
      <c r="G21">
        <v>22.222222222222229</v>
      </c>
    </row>
    <row r="22" spans="1:7" x14ac:dyDescent="0.35">
      <c r="A22">
        <v>18</v>
      </c>
      <c r="B22">
        <v>0</v>
      </c>
      <c r="C22">
        <v>0</v>
      </c>
      <c r="D22">
        <v>0</v>
      </c>
      <c r="E22">
        <v>107.40740740740742</v>
      </c>
      <c r="F22">
        <v>166.66666666666666</v>
      </c>
      <c r="G22">
        <v>166.66666666666666</v>
      </c>
    </row>
    <row r="23" spans="1:7" x14ac:dyDescent="0.35">
      <c r="A23">
        <v>19</v>
      </c>
      <c r="B23">
        <v>0</v>
      </c>
      <c r="C23">
        <v>0</v>
      </c>
      <c r="D23">
        <v>0</v>
      </c>
      <c r="E23">
        <v>64.86486486486487</v>
      </c>
      <c r="F23">
        <v>102.70270270270269</v>
      </c>
      <c r="G23">
        <v>102.70270270270269</v>
      </c>
    </row>
    <row r="24" spans="1:7" x14ac:dyDescent="0.35">
      <c r="A24">
        <v>20</v>
      </c>
      <c r="B24">
        <v>0</v>
      </c>
      <c r="C24">
        <v>0</v>
      </c>
      <c r="D24">
        <v>0</v>
      </c>
      <c r="E24">
        <v>0</v>
      </c>
      <c r="F24">
        <v>257.69230769230774</v>
      </c>
      <c r="G24">
        <v>257.69230769230774</v>
      </c>
    </row>
    <row r="25" spans="1:7" x14ac:dyDescent="0.35">
      <c r="B25">
        <f>AVERAGE(B5:B24)</f>
        <v>0</v>
      </c>
      <c r="C25">
        <f t="shared" ref="C25:G25" si="0">AVERAGE(C5:C24)</f>
        <v>0</v>
      </c>
      <c r="D25">
        <f t="shared" si="0"/>
        <v>0.27651515151515171</v>
      </c>
      <c r="E25">
        <f t="shared" si="0"/>
        <v>25.741322710072712</v>
      </c>
      <c r="F25">
        <f t="shared" si="0"/>
        <v>116.0204389652919</v>
      </c>
      <c r="G25">
        <f t="shared" si="0"/>
        <v>131.2704389652919</v>
      </c>
    </row>
    <row r="26" spans="1:7" x14ac:dyDescent="0.35">
      <c r="B26">
        <f>_xlfn.STDEV.S(B5:B24)</f>
        <v>0</v>
      </c>
      <c r="C26">
        <f t="shared" ref="C26:G26" si="1">_xlfn.STDEV.S(C5:C24)</f>
        <v>0</v>
      </c>
      <c r="D26">
        <f t="shared" si="1"/>
        <v>0.85543229684161837</v>
      </c>
      <c r="E26">
        <f t="shared" si="1"/>
        <v>32.549753352711711</v>
      </c>
      <c r="F26">
        <f t="shared" si="1"/>
        <v>62.356747278030362</v>
      </c>
      <c r="G26">
        <f t="shared" si="1"/>
        <v>73.872737981932843</v>
      </c>
    </row>
    <row r="27" spans="1:7" x14ac:dyDescent="0.35">
      <c r="B27">
        <f>1.96 * B26/(SQRT(20))</f>
        <v>0</v>
      </c>
      <c r="C27">
        <f t="shared" ref="C27:G27" si="2">1.96 * C26/(SQRT(20))</f>
        <v>0</v>
      </c>
      <c r="D27">
        <f t="shared" si="2"/>
        <v>0.37490973411378092</v>
      </c>
      <c r="E27">
        <f t="shared" si="2"/>
        <v>14.265558384912953</v>
      </c>
      <c r="F27">
        <f t="shared" si="2"/>
        <v>27.329049450812366</v>
      </c>
      <c r="G27">
        <f t="shared" si="2"/>
        <v>32.376154907079957</v>
      </c>
    </row>
    <row r="29" spans="1:7" x14ac:dyDescent="0.35">
      <c r="A29" t="s">
        <v>1</v>
      </c>
    </row>
    <row r="30" spans="1:7" x14ac:dyDescent="0.35">
      <c r="A30" t="s">
        <v>4</v>
      </c>
      <c r="B30">
        <v>0</v>
      </c>
      <c r="C30">
        <v>3</v>
      </c>
      <c r="D30">
        <v>6</v>
      </c>
      <c r="E30">
        <v>24</v>
      </c>
      <c r="F30">
        <v>48</v>
      </c>
      <c r="G30">
        <v>72</v>
      </c>
    </row>
    <row r="31" spans="1:7" x14ac:dyDescent="0.35">
      <c r="A31">
        <v>1</v>
      </c>
      <c r="B31">
        <v>0</v>
      </c>
      <c r="C31">
        <v>20.000000000000004</v>
      </c>
      <c r="D31">
        <v>40.000000000000007</v>
      </c>
      <c r="E31">
        <v>95.555555555555543</v>
      </c>
      <c r="F31">
        <v>151.11111111111114</v>
      </c>
      <c r="G31">
        <v>151.11111111111114</v>
      </c>
    </row>
    <row r="32" spans="1:7" x14ac:dyDescent="0.35">
      <c r="A32">
        <v>2</v>
      </c>
      <c r="B32">
        <v>0</v>
      </c>
      <c r="C32">
        <v>48.888888888888907</v>
      </c>
      <c r="D32">
        <v>71.111111111111114</v>
      </c>
      <c r="E32">
        <v>66.666666666666657</v>
      </c>
      <c r="F32">
        <v>108.8888888888889</v>
      </c>
      <c r="G32">
        <v>108.8888888888889</v>
      </c>
    </row>
    <row r="33" spans="1:7" x14ac:dyDescent="0.35">
      <c r="A33">
        <v>3</v>
      </c>
      <c r="B33">
        <v>0</v>
      </c>
      <c r="C33">
        <v>13.888888888888903</v>
      </c>
      <c r="D33">
        <v>36.111111111111128</v>
      </c>
      <c r="E33">
        <v>77.777777777777786</v>
      </c>
      <c r="F33">
        <v>175.00000000000003</v>
      </c>
      <c r="G33">
        <v>175.00000000000003</v>
      </c>
    </row>
    <row r="34" spans="1:7" x14ac:dyDescent="0.35">
      <c r="A34">
        <v>4</v>
      </c>
      <c r="B34">
        <v>0</v>
      </c>
      <c r="C34">
        <v>34.482758620689644</v>
      </c>
      <c r="D34">
        <v>62.068965517241367</v>
      </c>
      <c r="E34">
        <v>131.0344827586207</v>
      </c>
      <c r="F34">
        <v>262.06896551724139</v>
      </c>
      <c r="G34">
        <v>262.06896551724139</v>
      </c>
    </row>
    <row r="35" spans="1:7" x14ac:dyDescent="0.35">
      <c r="A35">
        <v>5</v>
      </c>
      <c r="B35">
        <v>0</v>
      </c>
      <c r="C35">
        <v>90.476190476190467</v>
      </c>
      <c r="D35">
        <v>90.476190476190467</v>
      </c>
      <c r="E35">
        <v>266.66666666666663</v>
      </c>
      <c r="F35">
        <v>409.52380952380952</v>
      </c>
      <c r="G35">
        <v>409.52380952380952</v>
      </c>
    </row>
    <row r="36" spans="1:7" x14ac:dyDescent="0.35">
      <c r="A36">
        <v>6</v>
      </c>
      <c r="B36">
        <v>0</v>
      </c>
      <c r="C36">
        <v>68.75</v>
      </c>
      <c r="D36">
        <v>75</v>
      </c>
      <c r="E36">
        <v>128.12499999999997</v>
      </c>
      <c r="F36">
        <v>140.625</v>
      </c>
      <c r="G36">
        <v>187.5</v>
      </c>
    </row>
    <row r="37" spans="1:7" x14ac:dyDescent="0.35">
      <c r="A37">
        <v>7</v>
      </c>
      <c r="B37">
        <v>0</v>
      </c>
      <c r="C37">
        <v>4.5454545454545494</v>
      </c>
      <c r="D37">
        <v>45.454545454545467</v>
      </c>
      <c r="E37">
        <v>118.18181818181822</v>
      </c>
      <c r="F37">
        <v>118.18181818181822</v>
      </c>
      <c r="G37">
        <v>118.18181818181822</v>
      </c>
    </row>
    <row r="38" spans="1:7" x14ac:dyDescent="0.35">
      <c r="A38">
        <v>8</v>
      </c>
      <c r="B38">
        <v>0</v>
      </c>
      <c r="C38">
        <v>61.764705882352935</v>
      </c>
      <c r="D38">
        <v>61.764705882352935</v>
      </c>
      <c r="E38">
        <v>179.41176470588235</v>
      </c>
      <c r="F38">
        <v>179.41176470588235</v>
      </c>
      <c r="G38">
        <v>179.41176470588235</v>
      </c>
    </row>
    <row r="39" spans="1:7" x14ac:dyDescent="0.35">
      <c r="A39">
        <v>9</v>
      </c>
      <c r="B39">
        <v>0</v>
      </c>
      <c r="C39">
        <v>4.2553191489361746</v>
      </c>
      <c r="D39">
        <v>1240.4255319148936</v>
      </c>
      <c r="E39">
        <v>51.063829787234027</v>
      </c>
      <c r="F39">
        <v>110.63829787234043</v>
      </c>
      <c r="G39">
        <v>110.63829787234043</v>
      </c>
    </row>
    <row r="40" spans="1:7" x14ac:dyDescent="0.35">
      <c r="A40">
        <v>10</v>
      </c>
      <c r="B40">
        <v>0</v>
      </c>
      <c r="C40">
        <v>11.627906976744198</v>
      </c>
      <c r="D40">
        <v>53.488372093023273</v>
      </c>
      <c r="E40">
        <v>44.186046511627922</v>
      </c>
      <c r="F40">
        <v>81.395348837209312</v>
      </c>
      <c r="G40">
        <v>81.395348837209312</v>
      </c>
    </row>
    <row r="41" spans="1:7" x14ac:dyDescent="0.35">
      <c r="A41">
        <v>11</v>
      </c>
      <c r="B41">
        <v>0</v>
      </c>
      <c r="C41">
        <v>5.7142857142856984</v>
      </c>
      <c r="D41">
        <v>59.999999999999986</v>
      </c>
      <c r="E41">
        <v>45.714285714285694</v>
      </c>
      <c r="F41">
        <v>231.42857142857142</v>
      </c>
      <c r="G41">
        <v>231.42857142857142</v>
      </c>
    </row>
    <row r="42" spans="1:7" x14ac:dyDescent="0.35">
      <c r="A42">
        <v>12</v>
      </c>
      <c r="B42">
        <v>0</v>
      </c>
      <c r="C42">
        <v>17.948717948717945</v>
      </c>
      <c r="D42">
        <v>41.025641025641022</v>
      </c>
      <c r="E42">
        <v>120.51282051282051</v>
      </c>
      <c r="F42">
        <v>125.64102564102564</v>
      </c>
      <c r="G42">
        <v>125.64102564102564</v>
      </c>
    </row>
    <row r="43" spans="1:7" x14ac:dyDescent="0.35">
      <c r="A43">
        <v>13</v>
      </c>
      <c r="B43">
        <v>0</v>
      </c>
      <c r="C43">
        <v>16.21621621621621</v>
      </c>
      <c r="D43">
        <v>21.621621621621621</v>
      </c>
      <c r="E43">
        <v>78.3783783783784</v>
      </c>
      <c r="F43">
        <v>67.567567567567579</v>
      </c>
      <c r="G43">
        <v>67.567567567567579</v>
      </c>
    </row>
    <row r="44" spans="1:7" x14ac:dyDescent="0.35">
      <c r="A44">
        <v>14</v>
      </c>
      <c r="B44">
        <v>0</v>
      </c>
      <c r="C44">
        <v>32.432432432432442</v>
      </c>
      <c r="D44">
        <v>59.45945945945946</v>
      </c>
      <c r="E44">
        <v>132.43243243243242</v>
      </c>
      <c r="F44">
        <v>197.29729729729732</v>
      </c>
      <c r="G44">
        <v>197.29729729729732</v>
      </c>
    </row>
    <row r="45" spans="1:7" x14ac:dyDescent="0.35">
      <c r="A45">
        <v>15</v>
      </c>
      <c r="B45">
        <v>0</v>
      </c>
      <c r="C45">
        <v>94.285714285714278</v>
      </c>
      <c r="D45">
        <v>122.85714285714285</v>
      </c>
      <c r="E45">
        <v>148.57142857142853</v>
      </c>
      <c r="F45">
        <v>237.14285714285711</v>
      </c>
      <c r="G45">
        <v>237.14285714285711</v>
      </c>
    </row>
    <row r="46" spans="1:7" x14ac:dyDescent="0.35">
      <c r="A46">
        <v>16</v>
      </c>
      <c r="B46">
        <v>0</v>
      </c>
      <c r="C46">
        <v>32.258064516129039</v>
      </c>
      <c r="D46">
        <v>90.322580645161281</v>
      </c>
      <c r="E46">
        <v>148.38709677419354</v>
      </c>
      <c r="F46">
        <v>148.38709677419354</v>
      </c>
      <c r="G46">
        <v>148.38709677419354</v>
      </c>
    </row>
    <row r="47" spans="1:7" x14ac:dyDescent="0.35">
      <c r="A47">
        <v>17</v>
      </c>
      <c r="B47">
        <v>0</v>
      </c>
      <c r="C47">
        <v>4.2553191489361746</v>
      </c>
      <c r="D47">
        <v>4.2553191489361746</v>
      </c>
      <c r="E47">
        <v>36.170212765957451</v>
      </c>
      <c r="F47">
        <v>36.170212765957451</v>
      </c>
      <c r="G47">
        <v>36.170212765957451</v>
      </c>
    </row>
    <row r="48" spans="1:7" x14ac:dyDescent="0.35">
      <c r="A48">
        <v>18</v>
      </c>
      <c r="B48">
        <v>0</v>
      </c>
      <c r="C48">
        <v>32.258064516129039</v>
      </c>
      <c r="D48">
        <v>58.064516129032263</v>
      </c>
      <c r="E48">
        <v>167.74193548387098</v>
      </c>
      <c r="F48">
        <v>187.09677419354838</v>
      </c>
      <c r="G48">
        <v>187.09677419354838</v>
      </c>
    </row>
    <row r="49" spans="1:7" x14ac:dyDescent="0.35">
      <c r="A49">
        <v>19</v>
      </c>
      <c r="B49">
        <v>0</v>
      </c>
      <c r="C49">
        <v>11.428571428571418</v>
      </c>
      <c r="D49">
        <v>25.714285714285694</v>
      </c>
      <c r="E49">
        <v>82.857142857142847</v>
      </c>
      <c r="F49">
        <v>82.857142857142847</v>
      </c>
      <c r="G49">
        <v>82.857142857142847</v>
      </c>
    </row>
    <row r="50" spans="1:7" x14ac:dyDescent="0.35">
      <c r="A50">
        <v>20</v>
      </c>
      <c r="B50">
        <v>0</v>
      </c>
      <c r="C50">
        <v>55.999999999999993</v>
      </c>
      <c r="D50">
        <v>55.999999999999993</v>
      </c>
      <c r="E50">
        <v>243.99999999999994</v>
      </c>
      <c r="F50">
        <v>243.99999999999994</v>
      </c>
      <c r="G50">
        <v>243.99999999999994</v>
      </c>
    </row>
    <row r="51" spans="1:7" x14ac:dyDescent="0.35">
      <c r="B51">
        <f>AVERAGE(B31:B50)</f>
        <v>0</v>
      </c>
      <c r="C51">
        <f t="shared" ref="C51:G51" si="3">AVERAGE(C31:C50)</f>
        <v>33.073874981763907</v>
      </c>
      <c r="D51">
        <f t="shared" si="3"/>
        <v>115.76105500808748</v>
      </c>
      <c r="E51">
        <f t="shared" si="3"/>
        <v>118.17176710511801</v>
      </c>
      <c r="F51">
        <f t="shared" si="3"/>
        <v>164.72167751532311</v>
      </c>
      <c r="G51">
        <f t="shared" si="3"/>
        <v>167.06542751532311</v>
      </c>
    </row>
    <row r="52" spans="1:7" x14ac:dyDescent="0.35">
      <c r="B52">
        <f>_xlfn.STDEV.S(B31:B50)</f>
        <v>0</v>
      </c>
      <c r="C52">
        <f t="shared" ref="C52:G52" si="4">_xlfn.STDEV.S(C31:C50)</f>
        <v>28.210804199329996</v>
      </c>
      <c r="D52">
        <f t="shared" si="4"/>
        <v>266.03662738363408</v>
      </c>
      <c r="E52">
        <f t="shared" si="4"/>
        <v>63.237135254091889</v>
      </c>
      <c r="F52">
        <f t="shared" si="4"/>
        <v>85.114563502023486</v>
      </c>
      <c r="G52">
        <f t="shared" si="4"/>
        <v>85.06147260390361</v>
      </c>
    </row>
    <row r="53" spans="1:7" x14ac:dyDescent="0.35">
      <c r="B53">
        <f>1.96 * B52/(SQRT(20))</f>
        <v>0</v>
      </c>
      <c r="C53">
        <f t="shared" ref="C53:G53" si="5">1.96 * C52/(SQRT(20))</f>
        <v>12.363930074369124</v>
      </c>
      <c r="D53">
        <f t="shared" si="5"/>
        <v>116.59569273357921</v>
      </c>
      <c r="E53">
        <f t="shared" si="5"/>
        <v>27.714896493577587</v>
      </c>
      <c r="F53">
        <f t="shared" si="5"/>
        <v>37.303102173686419</v>
      </c>
      <c r="G53">
        <f t="shared" si="5"/>
        <v>37.279834061678642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B0DA-ADDB-4375-90A1-73C106DD3456}">
  <dimension ref="A1:L11"/>
  <sheetViews>
    <sheetView tabSelected="1" workbookViewId="0">
      <selection activeCell="L11" sqref="L11"/>
    </sheetView>
  </sheetViews>
  <sheetFormatPr defaultRowHeight="14.5" x14ac:dyDescent="0.35"/>
  <cols>
    <col min="2" max="2" width="9.453125" bestFit="1" customWidth="1"/>
  </cols>
  <sheetData>
    <row r="1" spans="1:12" x14ac:dyDescent="0.35">
      <c r="A1" t="s">
        <v>6</v>
      </c>
    </row>
    <row r="3" spans="1:12" x14ac:dyDescent="0.35">
      <c r="A3" t="s">
        <v>7</v>
      </c>
      <c r="B3" s="1">
        <v>45171</v>
      </c>
      <c r="C3" t="s">
        <v>8</v>
      </c>
    </row>
    <row r="5" spans="1:12" x14ac:dyDescent="0.35">
      <c r="A5" t="s">
        <v>9</v>
      </c>
      <c r="B5" s="1">
        <v>45201</v>
      </c>
      <c r="C5" t="s">
        <v>3</v>
      </c>
      <c r="D5" t="s">
        <v>14</v>
      </c>
      <c r="E5" t="s">
        <v>15</v>
      </c>
      <c r="F5" t="s">
        <v>16</v>
      </c>
      <c r="G5" t="s">
        <v>17</v>
      </c>
      <c r="H5" t="s">
        <v>19</v>
      </c>
      <c r="I5" t="s">
        <v>20</v>
      </c>
      <c r="J5" t="s">
        <v>21</v>
      </c>
    </row>
    <row r="6" spans="1:12" x14ac:dyDescent="0.35">
      <c r="A6">
        <v>1</v>
      </c>
      <c r="B6" s="5">
        <v>3</v>
      </c>
      <c r="C6">
        <v>22</v>
      </c>
      <c r="D6" s="6"/>
      <c r="E6" s="6"/>
      <c r="F6" s="7"/>
      <c r="G6" s="7"/>
      <c r="H6" s="7"/>
      <c r="I6" s="7"/>
      <c r="J6" s="6"/>
      <c r="K6">
        <v>0</v>
      </c>
      <c r="L6">
        <f>K6/25 *100</f>
        <v>0</v>
      </c>
    </row>
    <row r="7" spans="1:12" x14ac:dyDescent="0.35">
      <c r="A7">
        <v>2</v>
      </c>
      <c r="B7" s="5">
        <v>2</v>
      </c>
      <c r="C7">
        <v>23</v>
      </c>
      <c r="D7" s="6"/>
      <c r="E7" s="6"/>
      <c r="F7" s="7"/>
      <c r="G7" s="7"/>
      <c r="H7" s="7"/>
      <c r="I7" s="7"/>
      <c r="J7" s="6"/>
      <c r="K7">
        <v>0</v>
      </c>
      <c r="L7">
        <f t="shared" ref="L7:L9" si="0">K7/25 *100</f>
        <v>0</v>
      </c>
    </row>
    <row r="8" spans="1:12" x14ac:dyDescent="0.35">
      <c r="A8">
        <v>3</v>
      </c>
      <c r="B8" s="5">
        <v>3</v>
      </c>
      <c r="C8">
        <v>20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f t="shared" si="0"/>
        <v>8</v>
      </c>
    </row>
    <row r="9" spans="1:12" x14ac:dyDescent="0.35">
      <c r="A9">
        <v>4</v>
      </c>
      <c r="B9" s="5">
        <v>4</v>
      </c>
      <c r="C9">
        <v>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f t="shared" si="0"/>
        <v>8</v>
      </c>
    </row>
    <row r="10" spans="1:12" x14ac:dyDescent="0.35">
      <c r="L10">
        <f>AVERAGE(L6:L9)</f>
        <v>4</v>
      </c>
    </row>
    <row r="11" spans="1:12" x14ac:dyDescent="0.35">
      <c r="L11">
        <f>_xlfn.STDEV.S(L6:L9)</f>
        <v>4.6188021535170058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EE5B-F0E4-4819-BAB3-D487E5C46820}">
  <dimension ref="A1:D8"/>
  <sheetViews>
    <sheetView workbookViewId="0">
      <selection sqref="A1:E9"/>
    </sheetView>
  </sheetViews>
  <sheetFormatPr defaultRowHeight="14.5" x14ac:dyDescent="0.35"/>
  <sheetData>
    <row r="1" spans="1:4" x14ac:dyDescent="0.35">
      <c r="A1" t="s">
        <v>10</v>
      </c>
    </row>
    <row r="3" spans="1:4" x14ac:dyDescent="0.35">
      <c r="B3" t="s">
        <v>11</v>
      </c>
      <c r="C3" t="s">
        <v>12</v>
      </c>
      <c r="D3" t="s">
        <v>10</v>
      </c>
    </row>
    <row r="4" spans="1:4" x14ac:dyDescent="0.35">
      <c r="B4">
        <v>0.28699999999999998</v>
      </c>
      <c r="C4">
        <v>0.03</v>
      </c>
      <c r="D4">
        <f>C4/(B4+C4)</f>
        <v>9.4637223974763415E-2</v>
      </c>
    </row>
    <row r="5" spans="1:4" x14ac:dyDescent="0.35">
      <c r="B5">
        <v>0.245</v>
      </c>
      <c r="C5">
        <v>2.9000000000000001E-2</v>
      </c>
      <c r="D5">
        <f t="shared" ref="D5:D6" si="0">C5/(B5+C5)</f>
        <v>0.10583941605839416</v>
      </c>
    </row>
    <row r="6" spans="1:4" x14ac:dyDescent="0.35">
      <c r="B6">
        <v>0.23499999999999999</v>
      </c>
      <c r="C6">
        <v>2.9000000000000001E-2</v>
      </c>
      <c r="D6">
        <f t="shared" si="0"/>
        <v>0.10984848484848485</v>
      </c>
    </row>
    <row r="7" spans="1:4" x14ac:dyDescent="0.35">
      <c r="B7" s="11" t="s">
        <v>13</v>
      </c>
      <c r="C7" s="11"/>
      <c r="D7">
        <f>AVERAGE(D4:D6)</f>
        <v>0.10344170829388082</v>
      </c>
    </row>
    <row r="8" spans="1:4" x14ac:dyDescent="0.35">
      <c r="D8">
        <f>_xlfn.STDEV.S(D4:D6)</f>
        <v>7.8839943071458279E-3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Imbibition</vt:lpstr>
      <vt:lpstr>Sheet1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2023-02-13T15:12:32Z</dcterms:created>
  <dcterms:modified xsi:type="dcterms:W3CDTF">2026-02-21T06:27:45Z</dcterms:modified>
</cp:coreProperties>
</file>