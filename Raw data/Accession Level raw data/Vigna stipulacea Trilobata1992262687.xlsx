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195503CD-EFC9-4F72-95A3-A81E785C7B10}" xr6:coauthVersionLast="47" xr6:coauthVersionMax="47" xr10:uidLastSave="{00000000-0000-0000-0000-000000000000}"/>
  <bookViews>
    <workbookView xWindow="-110" yWindow="-110" windowWidth="19420" windowHeight="10300" activeTab="2" xr2:uid="{C798EDDF-7BDB-4E1B-AFC9-5C904DB9B0A0}"/>
  </bookViews>
  <sheets>
    <sheet name="Imbibition" sheetId="1" r:id="rId1"/>
    <sheet name="Sheet1" sheetId="4" r:id="rId2"/>
    <sheet name="Sheet2" sheetId="5" r:id="rId3"/>
    <sheet name="Germination" sheetId="2" r:id="rId4"/>
    <sheet name="SC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5" l="1"/>
  <c r="E50" i="5"/>
  <c r="E51" i="5" s="1"/>
  <c r="D50" i="5"/>
  <c r="D51" i="5" s="1"/>
  <c r="C50" i="5"/>
  <c r="C51" i="5" s="1"/>
  <c r="B50" i="5"/>
  <c r="E49" i="5"/>
  <c r="D49" i="5"/>
  <c r="C49" i="5"/>
  <c r="B49" i="5"/>
  <c r="I26" i="5"/>
  <c r="I27" i="5" s="1"/>
  <c r="H26" i="5"/>
  <c r="H27" i="5" s="1"/>
  <c r="G26" i="5"/>
  <c r="G27" i="5" s="1"/>
  <c r="F26" i="5"/>
  <c r="F27" i="5" s="1"/>
  <c r="E26" i="5"/>
  <c r="E27" i="5" s="1"/>
  <c r="D26" i="5"/>
  <c r="D27" i="5" s="1"/>
  <c r="C26" i="5"/>
  <c r="C27" i="5" s="1"/>
  <c r="B26" i="5"/>
  <c r="B27" i="5" s="1"/>
  <c r="I25" i="5"/>
  <c r="H25" i="5"/>
  <c r="G25" i="5"/>
  <c r="F25" i="5"/>
  <c r="E25" i="5"/>
  <c r="D25" i="5"/>
  <c r="C25" i="5"/>
  <c r="B25" i="5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5" i="4"/>
  <c r="D6" i="3"/>
  <c r="D5" i="3"/>
  <c r="D4" i="3"/>
  <c r="D7" i="3" s="1"/>
  <c r="D8" i="3" l="1"/>
</calcChain>
</file>

<file path=xl/sharedStrings.xml><?xml version="1.0" encoding="utf-8"?>
<sst xmlns="http://schemas.openxmlformats.org/spreadsheetml/2006/main" count="53" uniqueCount="24">
  <si>
    <t>UT</t>
  </si>
  <si>
    <t>13/02/2023</t>
  </si>
  <si>
    <t>14/02/2023</t>
  </si>
  <si>
    <t>Seed no.</t>
  </si>
  <si>
    <t>MS</t>
  </si>
  <si>
    <t>Ger</t>
  </si>
  <si>
    <t>Start</t>
  </si>
  <si>
    <t>25 seeds</t>
  </si>
  <si>
    <t>Rep</t>
  </si>
  <si>
    <t>SCR</t>
  </si>
  <si>
    <t>Embryo weight</t>
  </si>
  <si>
    <t>Seed coat weight</t>
  </si>
  <si>
    <t>Average</t>
  </si>
  <si>
    <t>15/02/2023</t>
  </si>
  <si>
    <t>Vigna stipulacea trilobata?</t>
  </si>
  <si>
    <t>16/02/2023</t>
  </si>
  <si>
    <t>17/02/2023</t>
  </si>
  <si>
    <t>NI1439</t>
  </si>
  <si>
    <t>20/02/2023</t>
  </si>
  <si>
    <t>21/02/2022</t>
  </si>
  <si>
    <t>21/02/2023</t>
  </si>
  <si>
    <t>22/02/2023</t>
  </si>
  <si>
    <t>24/02/2023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</si>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</sst>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0" fillId="2" borderId="0" xfId="0" applyNumberFormat="1" applyFill="1"/>
    <xf numFmtId="0" fontId="0" fillId="2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13648293963253"/>
          <c:y val="5.0925925925925923E-2"/>
          <c:w val="0.8323079615048119"/>
          <c:h val="0.767229512977544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Sheet2!$L$5</c:f>
              <c:strCache>
                <c:ptCount val="1"/>
                <c:pt idx="0">
                  <c:v>NT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Sheet2!$M$11:$U$11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2.7962557201786065</c:v>
                  </c:pt>
                  <c:pt idx="2">
                    <c:v>2.4499999999999997</c:v>
                  </c:pt>
                  <c:pt idx="3">
                    <c:v>5.5487881296371686</c:v>
                  </c:pt>
                  <c:pt idx="4">
                    <c:v>6.2051914220912883</c:v>
                  </c:pt>
                  <c:pt idx="5">
                    <c:v>7.0453429104016063</c:v>
                  </c:pt>
                  <c:pt idx="6">
                    <c:v>7.0453429104016063</c:v>
                  </c:pt>
                  <c:pt idx="7">
                    <c:v>7.0453429104016063</c:v>
                  </c:pt>
                  <c:pt idx="8">
                    <c:v>7.0453429104016063</c:v>
                  </c:pt>
                </c:numCache>
              </c:numRef>
            </c:plus>
            <c:minus>
              <c:numRef>
                <c:f>Sheet2!$M$11:$U$11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2.7962557201786065</c:v>
                  </c:pt>
                  <c:pt idx="2">
                    <c:v>2.4499999999999997</c:v>
                  </c:pt>
                  <c:pt idx="3">
                    <c:v>5.5487881296371686</c:v>
                  </c:pt>
                  <c:pt idx="4">
                    <c:v>6.2051914220912883</c:v>
                  </c:pt>
                  <c:pt idx="5">
                    <c:v>7.0453429104016063</c:v>
                  </c:pt>
                  <c:pt idx="6">
                    <c:v>7.0453429104016063</c:v>
                  </c:pt>
                  <c:pt idx="7">
                    <c:v>7.0453429104016063</c:v>
                  </c:pt>
                  <c:pt idx="8">
                    <c:v>7.0453429104016063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Sheet2!$M$4:$U$4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  <c:pt idx="5">
                  <c:v>120</c:v>
                </c:pt>
                <c:pt idx="6">
                  <c:v>168</c:v>
                </c:pt>
                <c:pt idx="7">
                  <c:v>216</c:v>
                </c:pt>
                <c:pt idx="8">
                  <c:v>240</c:v>
                </c:pt>
              </c:numCache>
            </c:numRef>
          </c:xVal>
          <c:yVal>
            <c:numRef>
              <c:f>Sheet2!$M$5:$U$5</c:f>
              <c:numCache>
                <c:formatCode>General</c:formatCode>
                <c:ptCount val="9"/>
                <c:pt idx="0">
                  <c:v>0</c:v>
                </c:pt>
                <c:pt idx="1">
                  <c:v>0.625</c:v>
                </c:pt>
                <c:pt idx="2">
                  <c:v>1.25</c:v>
                </c:pt>
                <c:pt idx="3">
                  <c:v>5.2976190476190466</c:v>
                </c:pt>
                <c:pt idx="4">
                  <c:v>6.011904761904761</c:v>
                </c:pt>
                <c:pt idx="5">
                  <c:v>3.5119047619047605</c:v>
                </c:pt>
                <c:pt idx="6">
                  <c:v>3.5119047619047605</c:v>
                </c:pt>
                <c:pt idx="7">
                  <c:v>3.5119047619047605</c:v>
                </c:pt>
                <c:pt idx="8">
                  <c:v>3.5119047619047605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DC-4B11-BAC7-B3E3905DFBC0}"/>
            </c:ext>
          </c:extLst>
        </c:ser>
        <c:ser>
          <c:idx val="1"/>
          <c:order val="1"/>
          <c:tx>
            <c:strRef>
              <c:f>Sheet2!$L$6</c:f>
              <c:strCache>
                <c:ptCount val="1"/>
                <c:pt idx="0">
                  <c:v>MS</c:v>
                </c:pt>
              </c:strCache>
            </c:strRef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Sheet2!$M$12:$P$12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13.47955069176659</c:v>
                  </c:pt>
                  <c:pt idx="2">
                    <c:v>17.874192958214103</c:v>
                  </c:pt>
                  <c:pt idx="3">
                    <c:v>38.393801856806789</c:v>
                  </c:pt>
                </c:numCache>
              </c:numRef>
            </c:plus>
            <c:minus>
              <c:numRef>
                <c:f>Sheet2!$M$12:$P$12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13.47955069176659</c:v>
                  </c:pt>
                  <c:pt idx="2">
                    <c:v>17.874192958214103</c:v>
                  </c:pt>
                  <c:pt idx="3">
                    <c:v>38.393801856806789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Sheet2!$M$4:$U$4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  <c:pt idx="5">
                  <c:v>120</c:v>
                </c:pt>
                <c:pt idx="6">
                  <c:v>168</c:v>
                </c:pt>
                <c:pt idx="7">
                  <c:v>216</c:v>
                </c:pt>
                <c:pt idx="8">
                  <c:v>240</c:v>
                </c:pt>
              </c:numCache>
            </c:numRef>
          </c:xVal>
          <c:yVal>
            <c:numRef>
              <c:f>Sheet2!$M$6:$U$6</c:f>
              <c:numCache>
                <c:formatCode>General</c:formatCode>
                <c:ptCount val="9"/>
                <c:pt idx="0">
                  <c:v>0</c:v>
                </c:pt>
                <c:pt idx="1">
                  <c:v>69.563672438672441</c:v>
                </c:pt>
                <c:pt idx="2">
                  <c:v>137.29094516594515</c:v>
                </c:pt>
                <c:pt idx="3">
                  <c:v>256.8378427128427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DC-4B11-BAC7-B3E3905DF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093423"/>
        <c:axId val="1243095343"/>
      </c:scatterChart>
      <c:valAx>
        <c:axId val="1243093423"/>
        <c:scaling>
          <c:orientation val="minMax"/>
          <c:max val="2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since incubation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95343"/>
        <c:crosses val="autoZero"/>
        <c:crossBetween val="midCat"/>
        <c:majorUnit val="48"/>
      </c:valAx>
      <c:valAx>
        <c:axId val="1243095343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Mass increment</a:t>
                </a:r>
                <a:r>
                  <a:rPr lang="en-US" b="1" baseline="0"/>
                  <a:t> 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93423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29155730533685"/>
          <c:y val="0.34317074948964704"/>
          <c:w val="0.233416885389326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2</xdr:row>
      <xdr:rowOff>168275</xdr:rowOff>
    </xdr:from>
    <xdr:to>
      <xdr:col>10</xdr:col>
      <xdr:colOff>66675</xdr:colOff>
      <xdr:row>17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E0300-582A-EAA7-65DC-7522D43D3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589C-B6F7-495D-9C23-FC605134DCD1}">
  <dimension ref="A1:N48"/>
  <sheetViews>
    <sheetView workbookViewId="0">
      <selection sqref="A1:XFD1048576"/>
    </sheetView>
  </sheetViews>
  <sheetFormatPr defaultRowHeight="14.5" x14ac:dyDescent="0.35"/>
  <cols>
    <col min="4" max="4" width="10.81640625" bestFit="1" customWidth="1"/>
    <col min="5" max="5" width="11.54296875" customWidth="1"/>
  </cols>
  <sheetData>
    <row r="1" spans="1:14" x14ac:dyDescent="0.35">
      <c r="A1" t="s">
        <v>14</v>
      </c>
    </row>
    <row r="2" spans="1:14" x14ac:dyDescent="0.35">
      <c r="B2" t="s">
        <v>0</v>
      </c>
      <c r="C2">
        <v>22723</v>
      </c>
      <c r="D2">
        <v>1992262687</v>
      </c>
      <c r="E2" t="s">
        <v>17</v>
      </c>
    </row>
    <row r="3" spans="1:14" x14ac:dyDescent="0.35">
      <c r="B3" s="7">
        <v>45171</v>
      </c>
      <c r="C3" s="8"/>
      <c r="D3" s="8"/>
      <c r="E3" s="1">
        <v>45201</v>
      </c>
      <c r="F3" t="s">
        <v>1</v>
      </c>
      <c r="G3" t="s">
        <v>2</v>
      </c>
      <c r="H3" t="s">
        <v>13</v>
      </c>
      <c r="I3" t="s">
        <v>15</v>
      </c>
      <c r="J3" t="s">
        <v>16</v>
      </c>
      <c r="K3" t="s">
        <v>18</v>
      </c>
      <c r="L3" t="s">
        <v>19</v>
      </c>
      <c r="M3" t="s">
        <v>21</v>
      </c>
      <c r="N3" t="s">
        <v>22</v>
      </c>
    </row>
    <row r="4" spans="1:14" x14ac:dyDescent="0.35">
      <c r="A4" t="s">
        <v>3</v>
      </c>
      <c r="B4" s="2">
        <v>0.34722222222222227</v>
      </c>
      <c r="C4" s="2">
        <v>0.47222222222222227</v>
      </c>
      <c r="D4" s="2">
        <v>0.59722222222222221</v>
      </c>
      <c r="E4" s="2">
        <v>0.34722222222222227</v>
      </c>
      <c r="F4" s="2">
        <v>0.34722222222222227</v>
      </c>
      <c r="G4" s="2">
        <v>0.34722222222222227</v>
      </c>
      <c r="H4" s="2">
        <v>0.34722222222222227</v>
      </c>
      <c r="I4" s="2">
        <v>0.34722222222222227</v>
      </c>
      <c r="J4" s="2">
        <v>0.34722222222222227</v>
      </c>
      <c r="K4" s="2">
        <v>0.34722222222222227</v>
      </c>
      <c r="L4" s="2">
        <v>0.34722222222222227</v>
      </c>
    </row>
    <row r="5" spans="1:14" x14ac:dyDescent="0.35">
      <c r="A5">
        <v>1</v>
      </c>
      <c r="B5">
        <v>7.0000000000000001E-3</v>
      </c>
      <c r="C5">
        <v>7.0000000000000001E-3</v>
      </c>
      <c r="D5">
        <v>7.0000000000000001E-3</v>
      </c>
      <c r="E5">
        <v>8.0000000000000002E-3</v>
      </c>
      <c r="F5">
        <v>8.9999999999999993E-3</v>
      </c>
      <c r="G5">
        <v>7.0000000000000001E-3</v>
      </c>
      <c r="H5">
        <v>7.0000000000000001E-3</v>
      </c>
      <c r="I5">
        <v>7.0000000000000001E-3</v>
      </c>
      <c r="J5">
        <v>7.0000000000000001E-3</v>
      </c>
      <c r="K5">
        <v>7.0000000000000001E-3</v>
      </c>
      <c r="L5">
        <v>7.0000000000000001E-3</v>
      </c>
      <c r="M5">
        <v>7.0000000000000001E-3</v>
      </c>
      <c r="N5">
        <v>7.0000000000000001E-3</v>
      </c>
    </row>
    <row r="6" spans="1:14" x14ac:dyDescent="0.35">
      <c r="A6">
        <v>2</v>
      </c>
      <c r="B6">
        <v>8.9999999999999993E-3</v>
      </c>
      <c r="C6">
        <v>8.9999999999999993E-3</v>
      </c>
      <c r="D6">
        <v>8.9999999999999993E-3</v>
      </c>
      <c r="E6">
        <v>8.9999999999999993E-3</v>
      </c>
      <c r="F6">
        <v>8.9999999999999993E-3</v>
      </c>
      <c r="G6">
        <v>8.9999999999999993E-3</v>
      </c>
      <c r="H6">
        <v>8.9999999999999993E-3</v>
      </c>
      <c r="I6">
        <v>8.9999999999999993E-3</v>
      </c>
      <c r="J6">
        <v>8.9999999999999993E-3</v>
      </c>
      <c r="K6">
        <v>8.9999999999999993E-3</v>
      </c>
      <c r="L6">
        <v>8.9999999999999993E-3</v>
      </c>
      <c r="M6">
        <v>8.9999999999999993E-3</v>
      </c>
      <c r="N6">
        <v>8.9999999999999993E-3</v>
      </c>
    </row>
    <row r="7" spans="1:14" x14ac:dyDescent="0.35">
      <c r="A7">
        <v>3</v>
      </c>
      <c r="B7">
        <v>8.0000000000000002E-3</v>
      </c>
      <c r="C7">
        <v>7.0000000000000001E-3</v>
      </c>
      <c r="D7">
        <v>8.0000000000000002E-3</v>
      </c>
      <c r="E7">
        <v>8.0000000000000002E-3</v>
      </c>
      <c r="F7">
        <v>8.0000000000000002E-3</v>
      </c>
      <c r="G7">
        <v>8.0000000000000002E-3</v>
      </c>
      <c r="H7">
        <v>8.0000000000000002E-3</v>
      </c>
      <c r="I7">
        <v>8.0000000000000002E-3</v>
      </c>
      <c r="J7">
        <v>8.0000000000000002E-3</v>
      </c>
      <c r="K7">
        <v>8.0000000000000002E-3</v>
      </c>
      <c r="L7">
        <v>8.0000000000000002E-3</v>
      </c>
      <c r="M7">
        <v>8.0000000000000002E-3</v>
      </c>
      <c r="N7">
        <v>8.9999999999999993E-3</v>
      </c>
    </row>
    <row r="8" spans="1:14" x14ac:dyDescent="0.35">
      <c r="A8">
        <v>4</v>
      </c>
      <c r="B8">
        <v>7.0000000000000001E-3</v>
      </c>
      <c r="C8">
        <v>7.0000000000000001E-3</v>
      </c>
      <c r="D8">
        <v>7.0000000000000001E-3</v>
      </c>
      <c r="E8">
        <v>7.0000000000000001E-3</v>
      </c>
      <c r="F8">
        <v>7.0000000000000001E-3</v>
      </c>
      <c r="G8">
        <v>7.0000000000000001E-3</v>
      </c>
      <c r="H8">
        <v>7.0000000000000001E-3</v>
      </c>
      <c r="I8">
        <v>7.0000000000000001E-3</v>
      </c>
      <c r="J8">
        <v>7.0000000000000001E-3</v>
      </c>
      <c r="K8">
        <v>7.0000000000000001E-3</v>
      </c>
      <c r="L8">
        <v>7.0000000000000001E-3</v>
      </c>
      <c r="M8">
        <v>7.0000000000000001E-3</v>
      </c>
      <c r="N8">
        <v>7.0000000000000001E-3</v>
      </c>
    </row>
    <row r="9" spans="1:14" x14ac:dyDescent="0.35">
      <c r="A9">
        <v>5</v>
      </c>
      <c r="B9">
        <v>4.0000000000000001E-3</v>
      </c>
      <c r="C9">
        <v>5.0000000000000001E-3</v>
      </c>
      <c r="D9">
        <v>5.0000000000000001E-3</v>
      </c>
      <c r="E9">
        <v>6.0000000000000001E-3</v>
      </c>
      <c r="F9">
        <v>6.0000000000000001E-3</v>
      </c>
      <c r="G9">
        <v>6.0000000000000001E-3</v>
      </c>
      <c r="H9">
        <v>6.0000000000000001E-3</v>
      </c>
      <c r="I9">
        <v>6.0000000000000001E-3</v>
      </c>
      <c r="J9">
        <v>6.0000000000000001E-3</v>
      </c>
      <c r="K9">
        <v>6.0000000000000001E-3</v>
      </c>
      <c r="L9">
        <v>6.0000000000000001E-3</v>
      </c>
      <c r="M9">
        <v>6.0000000000000001E-3</v>
      </c>
      <c r="N9">
        <v>6.0000000000000001E-3</v>
      </c>
    </row>
    <row r="10" spans="1:14" x14ac:dyDescent="0.35">
      <c r="A10">
        <v>6</v>
      </c>
      <c r="B10">
        <v>7.0000000000000001E-3</v>
      </c>
      <c r="C10">
        <v>7.0000000000000001E-3</v>
      </c>
      <c r="D10">
        <v>7.0000000000000001E-3</v>
      </c>
      <c r="E10">
        <v>7.0000000000000001E-3</v>
      </c>
      <c r="F10">
        <v>7.0000000000000001E-3</v>
      </c>
      <c r="G10">
        <v>7.0000000000000001E-3</v>
      </c>
      <c r="H10">
        <v>7.0000000000000001E-3</v>
      </c>
      <c r="I10">
        <v>7.0000000000000001E-3</v>
      </c>
      <c r="J10">
        <v>7.0000000000000001E-3</v>
      </c>
      <c r="K10">
        <v>7.0000000000000001E-3</v>
      </c>
      <c r="L10">
        <v>7.0000000000000001E-3</v>
      </c>
      <c r="M10">
        <v>7.0000000000000001E-3</v>
      </c>
      <c r="N10">
        <v>7.0000000000000001E-3</v>
      </c>
    </row>
    <row r="11" spans="1:14" x14ac:dyDescent="0.35">
      <c r="A11">
        <v>7</v>
      </c>
      <c r="B11">
        <v>8.0000000000000002E-3</v>
      </c>
      <c r="C11">
        <v>8.0000000000000002E-3</v>
      </c>
      <c r="D11">
        <v>8.0000000000000002E-3</v>
      </c>
      <c r="E11">
        <v>8.0000000000000002E-3</v>
      </c>
      <c r="F11">
        <v>7.0000000000000001E-3</v>
      </c>
      <c r="G11">
        <v>7.0000000000000001E-3</v>
      </c>
      <c r="H11">
        <v>7.0000000000000001E-3</v>
      </c>
      <c r="I11">
        <v>7.0000000000000001E-3</v>
      </c>
      <c r="J11">
        <v>7.0000000000000001E-3</v>
      </c>
      <c r="K11">
        <v>7.0000000000000001E-3</v>
      </c>
      <c r="L11">
        <v>7.0000000000000001E-3</v>
      </c>
      <c r="M11">
        <v>7.0000000000000001E-3</v>
      </c>
      <c r="N11">
        <v>7.0000000000000001E-3</v>
      </c>
    </row>
    <row r="12" spans="1:14" x14ac:dyDescent="0.35">
      <c r="A12">
        <v>8</v>
      </c>
      <c r="B12">
        <v>8.0000000000000002E-3</v>
      </c>
      <c r="C12">
        <v>8.0000000000000002E-3</v>
      </c>
      <c r="D12">
        <v>8.0000000000000002E-3</v>
      </c>
      <c r="E12">
        <v>8.0000000000000002E-3</v>
      </c>
      <c r="F12">
        <v>8.0000000000000002E-3</v>
      </c>
      <c r="G12">
        <v>8.0000000000000002E-3</v>
      </c>
      <c r="H12">
        <v>8.0000000000000002E-3</v>
      </c>
      <c r="I12">
        <v>8.0000000000000002E-3</v>
      </c>
      <c r="J12">
        <v>8.0000000000000002E-3</v>
      </c>
      <c r="K12">
        <v>8.0000000000000002E-3</v>
      </c>
      <c r="L12">
        <v>8.0000000000000002E-3</v>
      </c>
      <c r="M12">
        <v>8.0000000000000002E-3</v>
      </c>
      <c r="N12">
        <v>8.0000000000000002E-3</v>
      </c>
    </row>
    <row r="13" spans="1:14" x14ac:dyDescent="0.35">
      <c r="A13">
        <v>9</v>
      </c>
      <c r="B13">
        <v>6.0000000000000001E-3</v>
      </c>
      <c r="C13">
        <v>6.0000000000000001E-3</v>
      </c>
      <c r="D13">
        <v>6.0000000000000001E-3</v>
      </c>
      <c r="E13">
        <v>6.0000000000000001E-3</v>
      </c>
      <c r="F13">
        <v>6.0000000000000001E-3</v>
      </c>
      <c r="G13">
        <v>6.0000000000000001E-3</v>
      </c>
      <c r="H13">
        <v>6.0000000000000001E-3</v>
      </c>
      <c r="I13">
        <v>6.0000000000000001E-3</v>
      </c>
      <c r="J13">
        <v>6.0000000000000001E-3</v>
      </c>
      <c r="K13">
        <v>6.0000000000000001E-3</v>
      </c>
      <c r="L13">
        <v>6.0000000000000001E-3</v>
      </c>
      <c r="M13">
        <v>6.0000000000000001E-3</v>
      </c>
      <c r="N13">
        <v>6.0000000000000001E-3</v>
      </c>
    </row>
    <row r="14" spans="1:14" x14ac:dyDescent="0.35">
      <c r="A14">
        <v>10</v>
      </c>
      <c r="B14">
        <v>6.0000000000000001E-3</v>
      </c>
      <c r="C14">
        <v>6.0000000000000001E-3</v>
      </c>
      <c r="D14">
        <v>6.0000000000000001E-3</v>
      </c>
      <c r="E14">
        <v>6.0000000000000001E-3</v>
      </c>
      <c r="F14">
        <v>6.0000000000000001E-3</v>
      </c>
      <c r="G14">
        <v>6.0000000000000001E-3</v>
      </c>
      <c r="H14">
        <v>6.0000000000000001E-3</v>
      </c>
      <c r="I14">
        <v>6.0000000000000001E-3</v>
      </c>
      <c r="J14">
        <v>6.0000000000000001E-3</v>
      </c>
      <c r="K14">
        <v>6.0000000000000001E-3</v>
      </c>
      <c r="L14">
        <v>6.0000000000000001E-3</v>
      </c>
      <c r="M14">
        <v>6.0000000000000001E-3</v>
      </c>
      <c r="N14">
        <v>6.0000000000000001E-3</v>
      </c>
    </row>
    <row r="15" spans="1:14" x14ac:dyDescent="0.35">
      <c r="A15">
        <v>11</v>
      </c>
      <c r="B15">
        <v>8.0000000000000002E-3</v>
      </c>
      <c r="C15">
        <v>8.0000000000000002E-3</v>
      </c>
      <c r="D15">
        <v>8.0000000000000002E-3</v>
      </c>
      <c r="E15">
        <v>8.0000000000000002E-3</v>
      </c>
      <c r="F15">
        <v>8.9999999999999993E-3</v>
      </c>
      <c r="G15">
        <v>6.0000000000000001E-3</v>
      </c>
      <c r="H15">
        <v>6.0000000000000001E-3</v>
      </c>
      <c r="I15">
        <v>6.0000000000000001E-3</v>
      </c>
      <c r="J15">
        <v>6.0000000000000001E-3</v>
      </c>
      <c r="K15">
        <v>6.0000000000000001E-3</v>
      </c>
      <c r="L15">
        <v>6.0000000000000001E-3</v>
      </c>
      <c r="M15">
        <v>6.0000000000000001E-3</v>
      </c>
      <c r="N15">
        <v>7.0000000000000001E-3</v>
      </c>
    </row>
    <row r="16" spans="1:14" x14ac:dyDescent="0.35">
      <c r="A16">
        <v>12</v>
      </c>
      <c r="B16">
        <v>7.0000000000000001E-3</v>
      </c>
      <c r="C16">
        <v>7.0000000000000001E-3</v>
      </c>
      <c r="D16">
        <v>7.0000000000000001E-3</v>
      </c>
      <c r="E16">
        <v>7.0000000000000001E-3</v>
      </c>
      <c r="F16">
        <v>7.0000000000000001E-3</v>
      </c>
      <c r="G16">
        <v>8.9999999999999993E-3</v>
      </c>
      <c r="H16">
        <v>8.9999999999999993E-3</v>
      </c>
      <c r="I16">
        <v>8.9999999999999993E-3</v>
      </c>
      <c r="J16">
        <v>8.9999999999999993E-3</v>
      </c>
      <c r="K16">
        <v>8.9999999999999993E-3</v>
      </c>
      <c r="L16">
        <v>8.9999999999999993E-3</v>
      </c>
      <c r="M16">
        <v>8.9999999999999993E-3</v>
      </c>
      <c r="N16">
        <v>8.9999999999999993E-3</v>
      </c>
    </row>
    <row r="17" spans="1:14" x14ac:dyDescent="0.35">
      <c r="A17">
        <v>13</v>
      </c>
      <c r="B17">
        <v>8.0000000000000002E-3</v>
      </c>
      <c r="C17">
        <v>8.0000000000000002E-3</v>
      </c>
      <c r="D17">
        <v>8.0000000000000002E-3</v>
      </c>
      <c r="E17">
        <v>8.0000000000000002E-3</v>
      </c>
      <c r="F17">
        <v>8.0000000000000002E-3</v>
      </c>
      <c r="G17">
        <v>8.0000000000000002E-3</v>
      </c>
      <c r="H17">
        <v>8.0000000000000002E-3</v>
      </c>
      <c r="I17">
        <v>8.0000000000000002E-3</v>
      </c>
      <c r="J17">
        <v>8.0000000000000002E-3</v>
      </c>
      <c r="K17">
        <v>8.0000000000000002E-3</v>
      </c>
      <c r="L17">
        <v>8.0000000000000002E-3</v>
      </c>
      <c r="M17">
        <v>8.0000000000000002E-3</v>
      </c>
      <c r="N17">
        <v>8.0000000000000002E-3</v>
      </c>
    </row>
    <row r="18" spans="1:14" x14ac:dyDescent="0.35">
      <c r="A18">
        <v>14</v>
      </c>
      <c r="B18">
        <v>7.0000000000000001E-3</v>
      </c>
      <c r="C18">
        <v>7.0000000000000001E-3</v>
      </c>
      <c r="D18">
        <v>7.0000000000000001E-3</v>
      </c>
      <c r="E18">
        <v>7.0000000000000001E-3</v>
      </c>
      <c r="F18">
        <v>7.0000000000000001E-3</v>
      </c>
      <c r="G18">
        <v>7.0000000000000001E-3</v>
      </c>
      <c r="H18">
        <v>7.0000000000000001E-3</v>
      </c>
      <c r="I18">
        <v>7.0000000000000001E-3</v>
      </c>
      <c r="J18">
        <v>7.0000000000000001E-3</v>
      </c>
      <c r="K18">
        <v>7.0000000000000001E-3</v>
      </c>
      <c r="L18">
        <v>7.0000000000000001E-3</v>
      </c>
      <c r="M18">
        <v>7.0000000000000001E-3</v>
      </c>
      <c r="N18">
        <v>7.0000000000000001E-3</v>
      </c>
    </row>
    <row r="19" spans="1:14" x14ac:dyDescent="0.35">
      <c r="A19">
        <v>15</v>
      </c>
      <c r="B19">
        <v>8.0000000000000002E-3</v>
      </c>
      <c r="C19">
        <v>8.0000000000000002E-3</v>
      </c>
      <c r="D19">
        <v>8.0000000000000002E-3</v>
      </c>
      <c r="E19">
        <v>8.0000000000000002E-3</v>
      </c>
      <c r="F19">
        <v>8.0000000000000002E-3</v>
      </c>
      <c r="G19">
        <v>8.0000000000000002E-3</v>
      </c>
      <c r="H19">
        <v>8.0000000000000002E-3</v>
      </c>
      <c r="I19">
        <v>8.0000000000000002E-3</v>
      </c>
      <c r="J19">
        <v>8.0000000000000002E-3</v>
      </c>
      <c r="K19">
        <v>8.0000000000000002E-3</v>
      </c>
      <c r="L19">
        <v>8.0000000000000002E-3</v>
      </c>
      <c r="M19">
        <v>8.0000000000000002E-3</v>
      </c>
      <c r="N19">
        <v>8.0000000000000002E-3</v>
      </c>
    </row>
    <row r="20" spans="1:14" x14ac:dyDescent="0.35">
      <c r="A20">
        <v>16</v>
      </c>
      <c r="B20">
        <v>6.0000000000000001E-3</v>
      </c>
      <c r="C20">
        <v>6.0000000000000001E-3</v>
      </c>
      <c r="D20">
        <v>6.0000000000000001E-3</v>
      </c>
      <c r="E20">
        <v>7.0000000000000001E-3</v>
      </c>
      <c r="F20">
        <v>7.0000000000000001E-3</v>
      </c>
      <c r="G20">
        <v>7.0000000000000001E-3</v>
      </c>
      <c r="H20">
        <v>7.0000000000000001E-3</v>
      </c>
      <c r="I20">
        <v>7.0000000000000001E-3</v>
      </c>
      <c r="J20">
        <v>7.0000000000000001E-3</v>
      </c>
      <c r="K20">
        <v>7.0000000000000001E-3</v>
      </c>
      <c r="L20">
        <v>7.0000000000000001E-3</v>
      </c>
      <c r="M20">
        <v>7.0000000000000001E-3</v>
      </c>
      <c r="N20">
        <v>7.0000000000000001E-3</v>
      </c>
    </row>
    <row r="21" spans="1:14" x14ac:dyDescent="0.35">
      <c r="A21">
        <v>17</v>
      </c>
      <c r="B21">
        <v>5.0000000000000001E-3</v>
      </c>
      <c r="C21">
        <v>5.0000000000000001E-3</v>
      </c>
      <c r="D21">
        <v>5.0000000000000001E-3</v>
      </c>
      <c r="E21">
        <v>5.0000000000000001E-3</v>
      </c>
      <c r="F21">
        <v>5.0000000000000001E-3</v>
      </c>
      <c r="G21">
        <v>5.0000000000000001E-3</v>
      </c>
      <c r="H21">
        <v>5.0000000000000001E-3</v>
      </c>
      <c r="I21">
        <v>5.0000000000000001E-3</v>
      </c>
      <c r="J21">
        <v>5.0000000000000001E-3</v>
      </c>
      <c r="K21">
        <v>5.0000000000000001E-3</v>
      </c>
      <c r="L21">
        <v>5.0000000000000001E-3</v>
      </c>
      <c r="M21">
        <v>5.0000000000000001E-3</v>
      </c>
      <c r="N21">
        <v>5.0000000000000001E-3</v>
      </c>
    </row>
    <row r="22" spans="1:14" x14ac:dyDescent="0.35">
      <c r="A22">
        <v>18</v>
      </c>
      <c r="B22">
        <v>4.0000000000000001E-3</v>
      </c>
      <c r="C22">
        <v>4.0000000000000001E-3</v>
      </c>
      <c r="D22">
        <v>4.0000000000000001E-3</v>
      </c>
      <c r="E22">
        <v>5.0000000000000001E-3</v>
      </c>
      <c r="F22">
        <v>5.0000000000000001E-3</v>
      </c>
      <c r="G22">
        <v>5.0000000000000001E-3</v>
      </c>
      <c r="H22">
        <v>5.0000000000000001E-3</v>
      </c>
      <c r="I22">
        <v>5.0000000000000001E-3</v>
      </c>
      <c r="J22">
        <v>5.0000000000000001E-3</v>
      </c>
      <c r="K22">
        <v>5.0000000000000001E-3</v>
      </c>
      <c r="L22">
        <v>5.0000000000000001E-3</v>
      </c>
      <c r="M22">
        <v>5.0000000000000001E-3</v>
      </c>
      <c r="N22">
        <v>5.0000000000000001E-3</v>
      </c>
    </row>
    <row r="23" spans="1:14" x14ac:dyDescent="0.35">
      <c r="A23">
        <v>19</v>
      </c>
      <c r="B23">
        <v>8.0000000000000002E-3</v>
      </c>
      <c r="C23">
        <v>8.0000000000000002E-3</v>
      </c>
      <c r="D23">
        <v>8.0000000000000002E-3</v>
      </c>
      <c r="E23">
        <v>8.0000000000000002E-3</v>
      </c>
      <c r="F23">
        <v>8.0000000000000002E-3</v>
      </c>
      <c r="G23">
        <v>7.0000000000000001E-3</v>
      </c>
      <c r="H23">
        <v>7.0000000000000001E-3</v>
      </c>
      <c r="I23">
        <v>7.0000000000000001E-3</v>
      </c>
      <c r="J23">
        <v>7.0000000000000001E-3</v>
      </c>
      <c r="K23">
        <v>7.0000000000000001E-3</v>
      </c>
      <c r="L23">
        <v>7.0000000000000001E-3</v>
      </c>
      <c r="M23">
        <v>7.0000000000000001E-3</v>
      </c>
      <c r="N23">
        <v>7.0000000000000001E-3</v>
      </c>
    </row>
    <row r="24" spans="1:14" x14ac:dyDescent="0.35">
      <c r="A24">
        <v>20</v>
      </c>
      <c r="B24">
        <v>7.0000000000000001E-3</v>
      </c>
      <c r="C24">
        <v>7.0000000000000001E-3</v>
      </c>
      <c r="D24">
        <v>7.0000000000000001E-3</v>
      </c>
      <c r="E24">
        <v>7.0000000000000001E-3</v>
      </c>
      <c r="F24">
        <v>7.0000000000000001E-3</v>
      </c>
      <c r="G24">
        <v>7.0000000000000001E-3</v>
      </c>
      <c r="H24">
        <v>7.0000000000000001E-3</v>
      </c>
      <c r="I24">
        <v>7.0000000000000001E-3</v>
      </c>
      <c r="J24">
        <v>7.0000000000000001E-3</v>
      </c>
      <c r="K24">
        <v>7.0000000000000001E-3</v>
      </c>
      <c r="L24">
        <v>7.0000000000000001E-3</v>
      </c>
      <c r="M24">
        <v>7.0000000000000001E-3</v>
      </c>
      <c r="N24">
        <v>7.0000000000000001E-3</v>
      </c>
    </row>
    <row r="26" spans="1:14" x14ac:dyDescent="0.35">
      <c r="B26" t="s">
        <v>4</v>
      </c>
    </row>
    <row r="27" spans="1:14" x14ac:dyDescent="0.35">
      <c r="B27" s="7">
        <v>45171</v>
      </c>
      <c r="C27" s="8"/>
      <c r="D27" s="8"/>
      <c r="E27" s="1">
        <v>45201</v>
      </c>
    </row>
    <row r="28" spans="1:14" x14ac:dyDescent="0.35">
      <c r="A28" t="s">
        <v>3</v>
      </c>
      <c r="B28" s="2">
        <v>0.34722222222222227</v>
      </c>
      <c r="C28" s="2">
        <v>0.47222222222222227</v>
      </c>
      <c r="D28" s="2">
        <v>0.59722222222222221</v>
      </c>
      <c r="E28" s="3">
        <v>0.34722222222222227</v>
      </c>
      <c r="F28" s="2"/>
      <c r="G28" s="2"/>
    </row>
    <row r="29" spans="1:14" x14ac:dyDescent="0.35">
      <c r="A29">
        <v>1</v>
      </c>
      <c r="B29">
        <v>6.0000000000000001E-3</v>
      </c>
      <c r="C29">
        <v>0.01</v>
      </c>
      <c r="D29">
        <v>1.4999999999999999E-2</v>
      </c>
      <c r="E29" s="4">
        <v>2.5000000000000001E-2</v>
      </c>
    </row>
    <row r="30" spans="1:14" x14ac:dyDescent="0.35">
      <c r="A30">
        <v>2</v>
      </c>
      <c r="B30">
        <v>0.01</v>
      </c>
      <c r="C30">
        <v>1.2E-2</v>
      </c>
      <c r="D30">
        <v>1.4999999999999999E-2</v>
      </c>
      <c r="E30" s="4">
        <v>2.1000000000000001E-2</v>
      </c>
    </row>
    <row r="31" spans="1:14" x14ac:dyDescent="0.35">
      <c r="A31">
        <v>3</v>
      </c>
      <c r="B31">
        <v>1.0999999999999999E-2</v>
      </c>
      <c r="C31">
        <v>1.2E-2</v>
      </c>
      <c r="D31">
        <v>1.7999999999999999E-2</v>
      </c>
      <c r="E31" s="4">
        <v>2.5000000000000001E-2</v>
      </c>
    </row>
    <row r="32" spans="1:14" x14ac:dyDescent="0.35">
      <c r="A32">
        <v>4</v>
      </c>
      <c r="B32">
        <v>7.0000000000000001E-3</v>
      </c>
      <c r="C32">
        <v>1.0999999999999999E-2</v>
      </c>
      <c r="D32">
        <v>1.7000000000000001E-2</v>
      </c>
      <c r="E32" s="4">
        <v>2.3E-2</v>
      </c>
    </row>
    <row r="33" spans="1:5" x14ac:dyDescent="0.35">
      <c r="A33">
        <v>5</v>
      </c>
      <c r="B33">
        <v>5.0000000000000001E-3</v>
      </c>
      <c r="C33">
        <v>8.0000000000000002E-3</v>
      </c>
      <c r="D33">
        <v>1.4E-2</v>
      </c>
      <c r="E33" s="4">
        <v>1.9E-2</v>
      </c>
    </row>
    <row r="34" spans="1:5" x14ac:dyDescent="0.35">
      <c r="A34">
        <v>6</v>
      </c>
      <c r="B34">
        <v>6.0000000000000001E-3</v>
      </c>
      <c r="C34">
        <v>1.0999999999999999E-2</v>
      </c>
      <c r="D34">
        <v>1.6E-2</v>
      </c>
      <c r="E34" s="4">
        <v>2.5999999999999999E-2</v>
      </c>
    </row>
    <row r="35" spans="1:5" x14ac:dyDescent="0.35">
      <c r="A35">
        <v>7</v>
      </c>
      <c r="B35">
        <v>6.0000000000000001E-3</v>
      </c>
      <c r="C35">
        <v>1.0999999999999999E-2</v>
      </c>
      <c r="D35">
        <v>1.4E-2</v>
      </c>
      <c r="E35" s="4">
        <v>1.7000000000000001E-2</v>
      </c>
    </row>
    <row r="36" spans="1:5" x14ac:dyDescent="0.35">
      <c r="A36">
        <v>8</v>
      </c>
      <c r="B36">
        <v>8.0000000000000002E-3</v>
      </c>
      <c r="C36">
        <v>1.0999999999999999E-2</v>
      </c>
      <c r="D36">
        <v>1.6E-2</v>
      </c>
      <c r="E36" s="4">
        <v>0.02</v>
      </c>
    </row>
    <row r="37" spans="1:5" x14ac:dyDescent="0.35">
      <c r="A37">
        <v>9</v>
      </c>
      <c r="B37">
        <v>4.0000000000000001E-3</v>
      </c>
      <c r="C37">
        <v>0.01</v>
      </c>
      <c r="D37">
        <v>1.2E-2</v>
      </c>
      <c r="E37" s="4">
        <v>1.7999999999999999E-2</v>
      </c>
    </row>
    <row r="38" spans="1:5" x14ac:dyDescent="0.35">
      <c r="A38">
        <v>10</v>
      </c>
      <c r="B38">
        <v>6.0000000000000001E-3</v>
      </c>
      <c r="C38">
        <v>0.01</v>
      </c>
      <c r="D38">
        <v>1.4E-2</v>
      </c>
      <c r="E38" s="4">
        <v>2.1000000000000001E-2</v>
      </c>
    </row>
    <row r="39" spans="1:5" x14ac:dyDescent="0.35">
      <c r="A39">
        <v>11</v>
      </c>
      <c r="B39">
        <v>7.0000000000000001E-3</v>
      </c>
      <c r="C39">
        <v>1.2E-2</v>
      </c>
      <c r="D39">
        <v>1.7000000000000001E-2</v>
      </c>
      <c r="E39" s="4">
        <v>2.1000000000000001E-2</v>
      </c>
    </row>
    <row r="40" spans="1:5" x14ac:dyDescent="0.35">
      <c r="A40">
        <v>12</v>
      </c>
      <c r="B40">
        <v>6.0000000000000001E-3</v>
      </c>
      <c r="C40">
        <v>1.0999999999999999E-2</v>
      </c>
      <c r="D40">
        <v>1.7000000000000001E-2</v>
      </c>
      <c r="E40" s="4">
        <v>2.4E-2</v>
      </c>
    </row>
    <row r="41" spans="1:5" x14ac:dyDescent="0.35">
      <c r="A41">
        <v>13</v>
      </c>
      <c r="B41">
        <v>6.0000000000000001E-3</v>
      </c>
      <c r="C41">
        <v>0.01</v>
      </c>
      <c r="D41">
        <v>1.4E-2</v>
      </c>
      <c r="E41" s="4">
        <v>2.3E-2</v>
      </c>
    </row>
    <row r="42" spans="1:5" x14ac:dyDescent="0.35">
      <c r="A42">
        <v>14</v>
      </c>
      <c r="B42">
        <v>8.9999999999999993E-3</v>
      </c>
      <c r="C42">
        <v>1.2999999999999999E-2</v>
      </c>
      <c r="D42">
        <v>1.9E-2</v>
      </c>
      <c r="E42" s="4">
        <v>2.9000000000000001E-2</v>
      </c>
    </row>
    <row r="43" spans="1:5" x14ac:dyDescent="0.35">
      <c r="A43">
        <v>15</v>
      </c>
      <c r="B43">
        <v>8.0000000000000002E-3</v>
      </c>
      <c r="C43">
        <v>1.2999999999999999E-2</v>
      </c>
      <c r="D43">
        <v>1.4999999999999999E-2</v>
      </c>
      <c r="E43" s="4">
        <v>0.03</v>
      </c>
    </row>
    <row r="44" spans="1:5" x14ac:dyDescent="0.35">
      <c r="A44">
        <v>16</v>
      </c>
      <c r="B44">
        <v>5.0000000000000001E-3</v>
      </c>
      <c r="C44">
        <v>0.01</v>
      </c>
      <c r="D44">
        <v>1.4999999999999999E-2</v>
      </c>
      <c r="E44" s="4">
        <v>2.4E-2</v>
      </c>
    </row>
    <row r="45" spans="1:5" x14ac:dyDescent="0.35">
      <c r="A45">
        <v>17</v>
      </c>
      <c r="B45">
        <v>8.0000000000000002E-3</v>
      </c>
      <c r="C45">
        <v>1.2999999999999999E-2</v>
      </c>
      <c r="D45">
        <v>1.7999999999999999E-2</v>
      </c>
      <c r="E45" s="4">
        <v>1.9E-2</v>
      </c>
    </row>
    <row r="46" spans="1:5" x14ac:dyDescent="0.35">
      <c r="A46">
        <v>18</v>
      </c>
      <c r="B46">
        <v>6.0000000000000001E-3</v>
      </c>
      <c r="C46">
        <v>0.01</v>
      </c>
      <c r="D46">
        <v>1.4E-2</v>
      </c>
      <c r="E46" s="4">
        <v>2.7E-2</v>
      </c>
    </row>
    <row r="47" spans="1:5" x14ac:dyDescent="0.35">
      <c r="A47">
        <v>19</v>
      </c>
      <c r="B47">
        <v>6.0000000000000001E-3</v>
      </c>
      <c r="C47">
        <v>1.2E-2</v>
      </c>
      <c r="D47">
        <v>1.6E-2</v>
      </c>
      <c r="E47" s="4">
        <v>3.1E-2</v>
      </c>
    </row>
    <row r="48" spans="1:5" x14ac:dyDescent="0.35">
      <c r="A48">
        <v>20</v>
      </c>
      <c r="B48">
        <v>7.0000000000000001E-3</v>
      </c>
      <c r="C48">
        <v>1.4E-2</v>
      </c>
      <c r="D48">
        <v>1.7000000000000001E-2</v>
      </c>
      <c r="E48" s="4">
        <v>2.4E-2</v>
      </c>
    </row>
  </sheetData>
  <mergeCells count="2">
    <mergeCell ref="B3:D3"/>
    <mergeCell ref="B27:D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1248-AA8C-4E6B-821E-BB6837BA65A7}">
  <dimension ref="A1:AA48"/>
  <sheetViews>
    <sheetView workbookViewId="0">
      <selection sqref="A1:XFD1048576"/>
    </sheetView>
  </sheetViews>
  <sheetFormatPr defaultRowHeight="14.5" x14ac:dyDescent="0.35"/>
  <cols>
    <col min="6" max="6" width="10.81640625" bestFit="1" customWidth="1"/>
    <col min="7" max="7" width="10.81640625" customWidth="1"/>
    <col min="8" max="9" width="11.54296875" customWidth="1"/>
  </cols>
  <sheetData>
    <row r="1" spans="1:27" x14ac:dyDescent="0.35">
      <c r="A1" t="s">
        <v>14</v>
      </c>
    </row>
    <row r="2" spans="1:27" x14ac:dyDescent="0.35">
      <c r="B2" t="s">
        <v>0</v>
      </c>
      <c r="D2">
        <v>22723</v>
      </c>
      <c r="F2">
        <v>1992262687</v>
      </c>
      <c r="H2" t="s">
        <v>17</v>
      </c>
    </row>
    <row r="3" spans="1:27" x14ac:dyDescent="0.35">
      <c r="B3" s="7">
        <v>45171</v>
      </c>
      <c r="C3" s="7"/>
      <c r="D3" s="8"/>
      <c r="E3" s="8"/>
      <c r="F3" s="8"/>
      <c r="G3" s="6"/>
      <c r="H3" s="1">
        <v>45201</v>
      </c>
      <c r="I3" s="1"/>
      <c r="J3" t="s">
        <v>1</v>
      </c>
      <c r="L3" t="s">
        <v>2</v>
      </c>
      <c r="N3" t="s">
        <v>13</v>
      </c>
      <c r="P3" t="s">
        <v>15</v>
      </c>
      <c r="R3" t="s">
        <v>16</v>
      </c>
      <c r="T3" t="s">
        <v>18</v>
      </c>
      <c r="V3" t="s">
        <v>19</v>
      </c>
      <c r="X3" t="s">
        <v>21</v>
      </c>
      <c r="Z3" t="s">
        <v>22</v>
      </c>
    </row>
    <row r="4" spans="1:27" x14ac:dyDescent="0.35">
      <c r="A4" t="s">
        <v>3</v>
      </c>
      <c r="B4" s="2">
        <v>0.34722222222222227</v>
      </c>
      <c r="C4" s="2">
        <v>0</v>
      </c>
      <c r="D4" s="2">
        <v>0.47222222222222227</v>
      </c>
      <c r="E4" s="2"/>
      <c r="F4" s="2">
        <v>0.59722222222222221</v>
      </c>
      <c r="G4" s="2"/>
      <c r="H4" s="2">
        <v>0.34722222222222227</v>
      </c>
      <c r="I4" s="2"/>
      <c r="J4" s="2">
        <v>0.34722222222222227</v>
      </c>
      <c r="K4" s="2"/>
      <c r="L4" s="2">
        <v>0.34722222222222227</v>
      </c>
      <c r="M4" s="2"/>
      <c r="N4" s="2">
        <v>0.34722222222222227</v>
      </c>
      <c r="O4" s="2"/>
      <c r="P4" s="2">
        <v>0.34722222222222227</v>
      </c>
      <c r="Q4" s="2"/>
      <c r="R4" s="2">
        <v>0.34722222222222227</v>
      </c>
      <c r="S4" s="2"/>
      <c r="T4" s="2">
        <v>0.34722222222222227</v>
      </c>
      <c r="U4" s="2"/>
      <c r="V4" s="2">
        <v>0.34722222222222227</v>
      </c>
      <c r="W4" s="2"/>
    </row>
    <row r="5" spans="1:27" x14ac:dyDescent="0.35">
      <c r="A5">
        <v>1</v>
      </c>
      <c r="B5">
        <v>7.0000000000000001E-3</v>
      </c>
      <c r="C5">
        <f>(B5-B5)/B5 *100</f>
        <v>0</v>
      </c>
      <c r="D5">
        <v>7.0000000000000001E-3</v>
      </c>
      <c r="E5">
        <f>(D5-B5)/B5 *100</f>
        <v>0</v>
      </c>
      <c r="F5">
        <v>7.0000000000000001E-3</v>
      </c>
      <c r="G5">
        <f>(F5-B5)/B5 *100</f>
        <v>0</v>
      </c>
      <c r="H5">
        <v>8.0000000000000002E-3</v>
      </c>
      <c r="I5">
        <f>(H5-B5)/B5 *100</f>
        <v>14.285714285714285</v>
      </c>
      <c r="J5">
        <v>8.9999999999999993E-3</v>
      </c>
      <c r="K5">
        <f>(J5-B5)/B5 *100</f>
        <v>28.571428571428559</v>
      </c>
      <c r="L5">
        <v>7.0000000000000001E-3</v>
      </c>
      <c r="M5">
        <f>(L5-B5)/B5 *100</f>
        <v>0</v>
      </c>
      <c r="N5">
        <v>7.0000000000000001E-3</v>
      </c>
      <c r="O5">
        <f>(N5-B5)/B5 *100</f>
        <v>0</v>
      </c>
      <c r="P5">
        <v>7.0000000000000001E-3</v>
      </c>
      <c r="Q5">
        <f>(P5-B5)/B5 *100</f>
        <v>0</v>
      </c>
      <c r="R5">
        <v>7.0000000000000001E-3</v>
      </c>
      <c r="S5">
        <f>(R5-B5)/B5 *100</f>
        <v>0</v>
      </c>
      <c r="T5">
        <v>7.0000000000000001E-3</v>
      </c>
      <c r="U5">
        <f>(T5-B5)/B5 *100</f>
        <v>0</v>
      </c>
      <c r="V5">
        <v>7.0000000000000001E-3</v>
      </c>
      <c r="W5">
        <f>(V5-B5)/B5 *100</f>
        <v>0</v>
      </c>
      <c r="X5">
        <v>7.0000000000000001E-3</v>
      </c>
      <c r="Y5">
        <f>(X5-B5)/B5 *100</f>
        <v>0</v>
      </c>
      <c r="Z5">
        <v>7.0000000000000001E-3</v>
      </c>
      <c r="AA5">
        <f>(Z5-B5)/B5 *100</f>
        <v>0</v>
      </c>
    </row>
    <row r="6" spans="1:27" x14ac:dyDescent="0.35">
      <c r="A6">
        <v>2</v>
      </c>
      <c r="B6">
        <v>8.9999999999999993E-3</v>
      </c>
      <c r="C6">
        <f t="shared" ref="C6:C24" si="0">(B6-B6)/B6 *100</f>
        <v>0</v>
      </c>
      <c r="D6">
        <v>8.9999999999999993E-3</v>
      </c>
      <c r="E6">
        <f t="shared" ref="E6:E24" si="1">(D6-B6)/B6 *100</f>
        <v>0</v>
      </c>
      <c r="F6">
        <v>8.9999999999999993E-3</v>
      </c>
      <c r="G6">
        <f t="shared" ref="G6:G24" si="2">(F6-B6)/B6 *100</f>
        <v>0</v>
      </c>
      <c r="H6">
        <v>8.9999999999999993E-3</v>
      </c>
      <c r="I6">
        <f t="shared" ref="I6:I24" si="3">(H6-B6)/B6 *100</f>
        <v>0</v>
      </c>
      <c r="J6">
        <v>8.9999999999999993E-3</v>
      </c>
      <c r="K6">
        <f t="shared" ref="K6:K24" si="4">(J6-B6)/B6 *100</f>
        <v>0</v>
      </c>
      <c r="L6">
        <v>8.9999999999999993E-3</v>
      </c>
      <c r="M6">
        <f t="shared" ref="M6:M24" si="5">(L6-B6)/B6 *100</f>
        <v>0</v>
      </c>
      <c r="N6">
        <v>8.9999999999999993E-3</v>
      </c>
      <c r="O6">
        <f t="shared" ref="O6:O24" si="6">(N6-B6)/B6 *100</f>
        <v>0</v>
      </c>
      <c r="P6">
        <v>8.9999999999999993E-3</v>
      </c>
      <c r="Q6">
        <f t="shared" ref="Q6:Q24" si="7">(P6-B6)/B6 *100</f>
        <v>0</v>
      </c>
      <c r="R6">
        <v>8.9999999999999993E-3</v>
      </c>
      <c r="S6">
        <f t="shared" ref="S6:S24" si="8">(R6-B6)/B6 *100</f>
        <v>0</v>
      </c>
      <c r="T6">
        <v>8.9999999999999993E-3</v>
      </c>
      <c r="U6">
        <f t="shared" ref="U6:U24" si="9">(T6-B6)/B6 *100</f>
        <v>0</v>
      </c>
      <c r="V6">
        <v>8.9999999999999993E-3</v>
      </c>
      <c r="W6">
        <f t="shared" ref="W6:W24" si="10">(V6-B6)/B6 *100</f>
        <v>0</v>
      </c>
      <c r="X6">
        <v>8.9999999999999993E-3</v>
      </c>
      <c r="Y6">
        <f t="shared" ref="Y6:Y24" si="11">(X6-B6)/B6 *100</f>
        <v>0</v>
      </c>
      <c r="Z6">
        <v>8.9999999999999993E-3</v>
      </c>
      <c r="AA6">
        <f t="shared" ref="AA6:AA24" si="12">(Z6-B6)/B6 *100</f>
        <v>0</v>
      </c>
    </row>
    <row r="7" spans="1:27" x14ac:dyDescent="0.35">
      <c r="A7">
        <v>3</v>
      </c>
      <c r="B7">
        <v>8.0000000000000002E-3</v>
      </c>
      <c r="C7">
        <f t="shared" si="0"/>
        <v>0</v>
      </c>
      <c r="D7">
        <v>7.0000000000000001E-3</v>
      </c>
      <c r="E7">
        <f t="shared" si="1"/>
        <v>-12.5</v>
      </c>
      <c r="F7">
        <v>8.0000000000000002E-3</v>
      </c>
      <c r="G7">
        <f t="shared" si="2"/>
        <v>0</v>
      </c>
      <c r="H7">
        <v>8.0000000000000002E-3</v>
      </c>
      <c r="I7">
        <f t="shared" si="3"/>
        <v>0</v>
      </c>
      <c r="J7">
        <v>8.0000000000000002E-3</v>
      </c>
      <c r="K7">
        <f t="shared" si="4"/>
        <v>0</v>
      </c>
      <c r="L7">
        <v>8.0000000000000002E-3</v>
      </c>
      <c r="M7">
        <f t="shared" si="5"/>
        <v>0</v>
      </c>
      <c r="N7">
        <v>8.0000000000000002E-3</v>
      </c>
      <c r="O7">
        <f t="shared" si="6"/>
        <v>0</v>
      </c>
      <c r="P7">
        <v>8.0000000000000002E-3</v>
      </c>
      <c r="Q7">
        <f t="shared" si="7"/>
        <v>0</v>
      </c>
      <c r="R7">
        <v>8.0000000000000002E-3</v>
      </c>
      <c r="S7">
        <f t="shared" si="8"/>
        <v>0</v>
      </c>
      <c r="T7">
        <v>8.0000000000000002E-3</v>
      </c>
      <c r="U7">
        <f t="shared" si="9"/>
        <v>0</v>
      </c>
      <c r="V7">
        <v>8.0000000000000002E-3</v>
      </c>
      <c r="W7">
        <f t="shared" si="10"/>
        <v>0</v>
      </c>
      <c r="X7">
        <v>8.0000000000000002E-3</v>
      </c>
      <c r="Y7">
        <f t="shared" si="11"/>
        <v>0</v>
      </c>
      <c r="Z7">
        <v>8.9999999999999993E-3</v>
      </c>
      <c r="AA7">
        <f t="shared" si="12"/>
        <v>12.499999999999989</v>
      </c>
    </row>
    <row r="8" spans="1:27" x14ac:dyDescent="0.35">
      <c r="A8">
        <v>4</v>
      </c>
      <c r="B8">
        <v>7.0000000000000001E-3</v>
      </c>
      <c r="C8">
        <f t="shared" si="0"/>
        <v>0</v>
      </c>
      <c r="D8">
        <v>7.0000000000000001E-3</v>
      </c>
      <c r="E8">
        <f t="shared" si="1"/>
        <v>0</v>
      </c>
      <c r="F8">
        <v>7.0000000000000001E-3</v>
      </c>
      <c r="G8">
        <f t="shared" si="2"/>
        <v>0</v>
      </c>
      <c r="H8">
        <v>7.0000000000000001E-3</v>
      </c>
      <c r="I8">
        <f t="shared" si="3"/>
        <v>0</v>
      </c>
      <c r="J8">
        <v>7.0000000000000001E-3</v>
      </c>
      <c r="K8">
        <f t="shared" si="4"/>
        <v>0</v>
      </c>
      <c r="L8">
        <v>7.0000000000000001E-3</v>
      </c>
      <c r="M8">
        <f t="shared" si="5"/>
        <v>0</v>
      </c>
      <c r="N8">
        <v>7.0000000000000001E-3</v>
      </c>
      <c r="O8">
        <f t="shared" si="6"/>
        <v>0</v>
      </c>
      <c r="P8">
        <v>7.0000000000000001E-3</v>
      </c>
      <c r="Q8">
        <f t="shared" si="7"/>
        <v>0</v>
      </c>
      <c r="R8">
        <v>7.0000000000000001E-3</v>
      </c>
      <c r="S8">
        <f t="shared" si="8"/>
        <v>0</v>
      </c>
      <c r="T8">
        <v>7.0000000000000001E-3</v>
      </c>
      <c r="U8">
        <f t="shared" si="9"/>
        <v>0</v>
      </c>
      <c r="V8">
        <v>7.0000000000000001E-3</v>
      </c>
      <c r="W8">
        <f t="shared" si="10"/>
        <v>0</v>
      </c>
      <c r="X8">
        <v>7.0000000000000001E-3</v>
      </c>
      <c r="Y8">
        <f t="shared" si="11"/>
        <v>0</v>
      </c>
      <c r="Z8">
        <v>7.0000000000000001E-3</v>
      </c>
      <c r="AA8">
        <f t="shared" si="12"/>
        <v>0</v>
      </c>
    </row>
    <row r="9" spans="1:27" x14ac:dyDescent="0.35">
      <c r="A9">
        <v>5</v>
      </c>
      <c r="B9">
        <v>4.0000000000000001E-3</v>
      </c>
      <c r="C9">
        <f t="shared" si="0"/>
        <v>0</v>
      </c>
      <c r="D9">
        <v>5.0000000000000001E-3</v>
      </c>
      <c r="E9">
        <f t="shared" si="1"/>
        <v>25</v>
      </c>
      <c r="F9">
        <v>5.0000000000000001E-3</v>
      </c>
      <c r="G9">
        <f t="shared" si="2"/>
        <v>25</v>
      </c>
      <c r="H9">
        <v>6.0000000000000001E-3</v>
      </c>
      <c r="I9">
        <f t="shared" si="3"/>
        <v>50</v>
      </c>
      <c r="J9">
        <v>6.0000000000000001E-3</v>
      </c>
      <c r="K9">
        <f t="shared" si="4"/>
        <v>50</v>
      </c>
      <c r="L9">
        <v>6.0000000000000001E-3</v>
      </c>
      <c r="M9">
        <f t="shared" si="5"/>
        <v>50</v>
      </c>
      <c r="N9">
        <v>6.0000000000000001E-3</v>
      </c>
      <c r="O9">
        <f t="shared" si="6"/>
        <v>50</v>
      </c>
      <c r="P9">
        <v>6.0000000000000001E-3</v>
      </c>
      <c r="Q9">
        <f t="shared" si="7"/>
        <v>50</v>
      </c>
      <c r="R9">
        <v>6.0000000000000001E-3</v>
      </c>
      <c r="S9">
        <f t="shared" si="8"/>
        <v>50</v>
      </c>
      <c r="T9">
        <v>6.0000000000000001E-3</v>
      </c>
      <c r="U9">
        <f t="shared" si="9"/>
        <v>50</v>
      </c>
      <c r="V9">
        <v>6.0000000000000001E-3</v>
      </c>
      <c r="W9">
        <f t="shared" si="10"/>
        <v>50</v>
      </c>
      <c r="X9">
        <v>6.0000000000000001E-3</v>
      </c>
      <c r="Y9">
        <f t="shared" si="11"/>
        <v>50</v>
      </c>
      <c r="Z9">
        <v>6.0000000000000001E-3</v>
      </c>
      <c r="AA9">
        <f t="shared" si="12"/>
        <v>50</v>
      </c>
    </row>
    <row r="10" spans="1:27" x14ac:dyDescent="0.35">
      <c r="A10">
        <v>6</v>
      </c>
      <c r="B10">
        <v>7.0000000000000001E-3</v>
      </c>
      <c r="C10">
        <f t="shared" si="0"/>
        <v>0</v>
      </c>
      <c r="D10">
        <v>7.0000000000000001E-3</v>
      </c>
      <c r="E10">
        <f t="shared" si="1"/>
        <v>0</v>
      </c>
      <c r="F10">
        <v>7.0000000000000001E-3</v>
      </c>
      <c r="G10">
        <f t="shared" si="2"/>
        <v>0</v>
      </c>
      <c r="H10">
        <v>7.0000000000000001E-3</v>
      </c>
      <c r="I10">
        <f t="shared" si="3"/>
        <v>0</v>
      </c>
      <c r="J10">
        <v>7.0000000000000001E-3</v>
      </c>
      <c r="K10">
        <f t="shared" si="4"/>
        <v>0</v>
      </c>
      <c r="L10">
        <v>7.0000000000000001E-3</v>
      </c>
      <c r="M10">
        <f t="shared" si="5"/>
        <v>0</v>
      </c>
      <c r="N10">
        <v>7.0000000000000001E-3</v>
      </c>
      <c r="O10">
        <f t="shared" si="6"/>
        <v>0</v>
      </c>
      <c r="P10">
        <v>7.0000000000000001E-3</v>
      </c>
      <c r="Q10">
        <f t="shared" si="7"/>
        <v>0</v>
      </c>
      <c r="R10">
        <v>7.0000000000000001E-3</v>
      </c>
      <c r="S10">
        <f t="shared" si="8"/>
        <v>0</v>
      </c>
      <c r="T10">
        <v>7.0000000000000001E-3</v>
      </c>
      <c r="U10">
        <f t="shared" si="9"/>
        <v>0</v>
      </c>
      <c r="V10">
        <v>7.0000000000000001E-3</v>
      </c>
      <c r="W10">
        <f t="shared" si="10"/>
        <v>0</v>
      </c>
      <c r="X10">
        <v>7.0000000000000001E-3</v>
      </c>
      <c r="Y10">
        <f t="shared" si="11"/>
        <v>0</v>
      </c>
      <c r="Z10">
        <v>7.0000000000000001E-3</v>
      </c>
      <c r="AA10">
        <f t="shared" si="12"/>
        <v>0</v>
      </c>
    </row>
    <row r="11" spans="1:27" x14ac:dyDescent="0.35">
      <c r="A11">
        <v>7</v>
      </c>
      <c r="B11">
        <v>8.0000000000000002E-3</v>
      </c>
      <c r="C11">
        <f t="shared" si="0"/>
        <v>0</v>
      </c>
      <c r="D11">
        <v>8.0000000000000002E-3</v>
      </c>
      <c r="E11">
        <f t="shared" si="1"/>
        <v>0</v>
      </c>
      <c r="F11">
        <v>8.0000000000000002E-3</v>
      </c>
      <c r="G11">
        <f t="shared" si="2"/>
        <v>0</v>
      </c>
      <c r="H11">
        <v>8.0000000000000002E-3</v>
      </c>
      <c r="I11">
        <f t="shared" si="3"/>
        <v>0</v>
      </c>
      <c r="J11">
        <v>7.0000000000000001E-3</v>
      </c>
      <c r="K11">
        <f t="shared" si="4"/>
        <v>-12.5</v>
      </c>
      <c r="L11">
        <v>7.0000000000000001E-3</v>
      </c>
      <c r="M11">
        <f t="shared" si="5"/>
        <v>-12.5</v>
      </c>
      <c r="N11">
        <v>7.0000000000000001E-3</v>
      </c>
      <c r="O11">
        <f t="shared" si="6"/>
        <v>-12.5</v>
      </c>
      <c r="P11">
        <v>7.0000000000000001E-3</v>
      </c>
      <c r="Q11">
        <f t="shared" si="7"/>
        <v>-12.5</v>
      </c>
      <c r="R11">
        <v>7.0000000000000001E-3</v>
      </c>
      <c r="S11">
        <f t="shared" si="8"/>
        <v>-12.5</v>
      </c>
      <c r="T11">
        <v>7.0000000000000001E-3</v>
      </c>
      <c r="U11">
        <f t="shared" si="9"/>
        <v>-12.5</v>
      </c>
      <c r="V11">
        <v>7.0000000000000001E-3</v>
      </c>
      <c r="W11">
        <f t="shared" si="10"/>
        <v>-12.5</v>
      </c>
      <c r="X11">
        <v>7.0000000000000001E-3</v>
      </c>
      <c r="Y11">
        <f t="shared" si="11"/>
        <v>-12.5</v>
      </c>
      <c r="Z11">
        <v>7.0000000000000001E-3</v>
      </c>
      <c r="AA11">
        <f t="shared" si="12"/>
        <v>-12.5</v>
      </c>
    </row>
    <row r="12" spans="1:27" x14ac:dyDescent="0.35">
      <c r="A12">
        <v>8</v>
      </c>
      <c r="B12">
        <v>8.0000000000000002E-3</v>
      </c>
      <c r="C12">
        <f t="shared" si="0"/>
        <v>0</v>
      </c>
      <c r="D12">
        <v>8.0000000000000002E-3</v>
      </c>
      <c r="E12">
        <f t="shared" si="1"/>
        <v>0</v>
      </c>
      <c r="F12">
        <v>8.0000000000000002E-3</v>
      </c>
      <c r="G12">
        <f t="shared" si="2"/>
        <v>0</v>
      </c>
      <c r="H12">
        <v>8.0000000000000002E-3</v>
      </c>
      <c r="I12">
        <f t="shared" si="3"/>
        <v>0</v>
      </c>
      <c r="J12">
        <v>8.0000000000000002E-3</v>
      </c>
      <c r="K12">
        <f t="shared" si="4"/>
        <v>0</v>
      </c>
      <c r="L12">
        <v>8.0000000000000002E-3</v>
      </c>
      <c r="M12">
        <f t="shared" si="5"/>
        <v>0</v>
      </c>
      <c r="N12">
        <v>8.0000000000000002E-3</v>
      </c>
      <c r="O12">
        <f t="shared" si="6"/>
        <v>0</v>
      </c>
      <c r="P12">
        <v>8.0000000000000002E-3</v>
      </c>
      <c r="Q12">
        <f t="shared" si="7"/>
        <v>0</v>
      </c>
      <c r="R12">
        <v>8.0000000000000002E-3</v>
      </c>
      <c r="S12">
        <f t="shared" si="8"/>
        <v>0</v>
      </c>
      <c r="T12">
        <v>8.0000000000000002E-3</v>
      </c>
      <c r="U12">
        <f t="shared" si="9"/>
        <v>0</v>
      </c>
      <c r="V12">
        <v>8.0000000000000002E-3</v>
      </c>
      <c r="W12">
        <f t="shared" si="10"/>
        <v>0</v>
      </c>
      <c r="X12">
        <v>8.0000000000000002E-3</v>
      </c>
      <c r="Y12">
        <f t="shared" si="11"/>
        <v>0</v>
      </c>
      <c r="Z12">
        <v>8.0000000000000002E-3</v>
      </c>
      <c r="AA12">
        <f t="shared" si="12"/>
        <v>0</v>
      </c>
    </row>
    <row r="13" spans="1:27" x14ac:dyDescent="0.35">
      <c r="A13">
        <v>9</v>
      </c>
      <c r="B13">
        <v>6.0000000000000001E-3</v>
      </c>
      <c r="C13">
        <f t="shared" si="0"/>
        <v>0</v>
      </c>
      <c r="D13">
        <v>6.0000000000000001E-3</v>
      </c>
      <c r="E13">
        <f t="shared" si="1"/>
        <v>0</v>
      </c>
      <c r="F13">
        <v>6.0000000000000001E-3</v>
      </c>
      <c r="G13">
        <f t="shared" si="2"/>
        <v>0</v>
      </c>
      <c r="H13">
        <v>6.0000000000000001E-3</v>
      </c>
      <c r="I13">
        <f t="shared" si="3"/>
        <v>0</v>
      </c>
      <c r="J13">
        <v>6.0000000000000001E-3</v>
      </c>
      <c r="K13">
        <f t="shared" si="4"/>
        <v>0</v>
      </c>
      <c r="L13">
        <v>6.0000000000000001E-3</v>
      </c>
      <c r="M13">
        <f t="shared" si="5"/>
        <v>0</v>
      </c>
      <c r="N13">
        <v>6.0000000000000001E-3</v>
      </c>
      <c r="O13">
        <f t="shared" si="6"/>
        <v>0</v>
      </c>
      <c r="P13">
        <v>6.0000000000000001E-3</v>
      </c>
      <c r="Q13">
        <f t="shared" si="7"/>
        <v>0</v>
      </c>
      <c r="R13">
        <v>6.0000000000000001E-3</v>
      </c>
      <c r="S13">
        <f t="shared" si="8"/>
        <v>0</v>
      </c>
      <c r="T13">
        <v>6.0000000000000001E-3</v>
      </c>
      <c r="U13">
        <f t="shared" si="9"/>
        <v>0</v>
      </c>
      <c r="V13">
        <v>6.0000000000000001E-3</v>
      </c>
      <c r="W13">
        <f t="shared" si="10"/>
        <v>0</v>
      </c>
      <c r="X13">
        <v>6.0000000000000001E-3</v>
      </c>
      <c r="Y13">
        <f t="shared" si="11"/>
        <v>0</v>
      </c>
      <c r="Z13">
        <v>6.0000000000000001E-3</v>
      </c>
      <c r="AA13">
        <f t="shared" si="12"/>
        <v>0</v>
      </c>
    </row>
    <row r="14" spans="1:27" x14ac:dyDescent="0.35">
      <c r="A14">
        <v>10</v>
      </c>
      <c r="B14">
        <v>6.0000000000000001E-3</v>
      </c>
      <c r="C14">
        <f t="shared" si="0"/>
        <v>0</v>
      </c>
      <c r="D14">
        <v>6.0000000000000001E-3</v>
      </c>
      <c r="E14">
        <f t="shared" si="1"/>
        <v>0</v>
      </c>
      <c r="F14">
        <v>6.0000000000000001E-3</v>
      </c>
      <c r="G14">
        <f t="shared" si="2"/>
        <v>0</v>
      </c>
      <c r="H14">
        <v>6.0000000000000001E-3</v>
      </c>
      <c r="I14">
        <f t="shared" si="3"/>
        <v>0</v>
      </c>
      <c r="J14">
        <v>6.0000000000000001E-3</v>
      </c>
      <c r="K14">
        <f t="shared" si="4"/>
        <v>0</v>
      </c>
      <c r="L14">
        <v>6.0000000000000001E-3</v>
      </c>
      <c r="M14">
        <f t="shared" si="5"/>
        <v>0</v>
      </c>
      <c r="N14">
        <v>6.0000000000000001E-3</v>
      </c>
      <c r="O14">
        <f t="shared" si="6"/>
        <v>0</v>
      </c>
      <c r="P14">
        <v>6.0000000000000001E-3</v>
      </c>
      <c r="Q14">
        <f t="shared" si="7"/>
        <v>0</v>
      </c>
      <c r="R14">
        <v>6.0000000000000001E-3</v>
      </c>
      <c r="S14">
        <f t="shared" si="8"/>
        <v>0</v>
      </c>
      <c r="T14">
        <v>6.0000000000000001E-3</v>
      </c>
      <c r="U14">
        <f t="shared" si="9"/>
        <v>0</v>
      </c>
      <c r="V14">
        <v>6.0000000000000001E-3</v>
      </c>
      <c r="W14">
        <f t="shared" si="10"/>
        <v>0</v>
      </c>
      <c r="X14">
        <v>6.0000000000000001E-3</v>
      </c>
      <c r="Y14">
        <f t="shared" si="11"/>
        <v>0</v>
      </c>
      <c r="Z14">
        <v>6.0000000000000001E-3</v>
      </c>
      <c r="AA14">
        <f t="shared" si="12"/>
        <v>0</v>
      </c>
    </row>
    <row r="15" spans="1:27" x14ac:dyDescent="0.35">
      <c r="A15">
        <v>11</v>
      </c>
      <c r="B15">
        <v>8.0000000000000002E-3</v>
      </c>
      <c r="C15">
        <f t="shared" si="0"/>
        <v>0</v>
      </c>
      <c r="D15">
        <v>8.0000000000000002E-3</v>
      </c>
      <c r="E15">
        <f t="shared" si="1"/>
        <v>0</v>
      </c>
      <c r="F15">
        <v>8.0000000000000002E-3</v>
      </c>
      <c r="G15">
        <f t="shared" si="2"/>
        <v>0</v>
      </c>
      <c r="H15">
        <v>8.0000000000000002E-3</v>
      </c>
      <c r="I15">
        <f t="shared" si="3"/>
        <v>0</v>
      </c>
      <c r="J15">
        <v>8.9999999999999993E-3</v>
      </c>
      <c r="K15">
        <f t="shared" si="4"/>
        <v>12.499999999999989</v>
      </c>
      <c r="L15">
        <v>6.0000000000000001E-3</v>
      </c>
      <c r="M15">
        <f t="shared" si="5"/>
        <v>-25</v>
      </c>
      <c r="N15">
        <v>6.0000000000000001E-3</v>
      </c>
      <c r="O15">
        <f t="shared" si="6"/>
        <v>-25</v>
      </c>
      <c r="P15">
        <v>6.0000000000000001E-3</v>
      </c>
      <c r="Q15">
        <f t="shared" si="7"/>
        <v>-25</v>
      </c>
      <c r="R15">
        <v>6.0000000000000001E-3</v>
      </c>
      <c r="S15">
        <f t="shared" si="8"/>
        <v>-25</v>
      </c>
      <c r="T15">
        <v>6.0000000000000001E-3</v>
      </c>
      <c r="U15">
        <f t="shared" si="9"/>
        <v>-25</v>
      </c>
      <c r="V15">
        <v>6.0000000000000001E-3</v>
      </c>
      <c r="W15">
        <f t="shared" si="10"/>
        <v>-25</v>
      </c>
      <c r="X15">
        <v>6.0000000000000001E-3</v>
      </c>
      <c r="Y15">
        <f t="shared" si="11"/>
        <v>-25</v>
      </c>
      <c r="Z15">
        <v>7.0000000000000001E-3</v>
      </c>
      <c r="AA15">
        <f t="shared" si="12"/>
        <v>-12.5</v>
      </c>
    </row>
    <row r="16" spans="1:27" x14ac:dyDescent="0.35">
      <c r="A16">
        <v>12</v>
      </c>
      <c r="B16">
        <v>7.0000000000000001E-3</v>
      </c>
      <c r="C16">
        <f t="shared" si="0"/>
        <v>0</v>
      </c>
      <c r="D16">
        <v>7.0000000000000001E-3</v>
      </c>
      <c r="E16">
        <f t="shared" si="1"/>
        <v>0</v>
      </c>
      <c r="F16">
        <v>7.0000000000000001E-3</v>
      </c>
      <c r="G16">
        <f t="shared" si="2"/>
        <v>0</v>
      </c>
      <c r="H16">
        <v>7.0000000000000001E-3</v>
      </c>
      <c r="I16">
        <f t="shared" si="3"/>
        <v>0</v>
      </c>
      <c r="J16">
        <v>7.0000000000000001E-3</v>
      </c>
      <c r="K16">
        <f t="shared" si="4"/>
        <v>0</v>
      </c>
      <c r="L16">
        <v>8.9999999999999993E-3</v>
      </c>
      <c r="M16">
        <f t="shared" si="5"/>
        <v>28.571428571428559</v>
      </c>
      <c r="N16">
        <v>8.9999999999999993E-3</v>
      </c>
      <c r="O16">
        <f t="shared" si="6"/>
        <v>28.571428571428559</v>
      </c>
      <c r="P16">
        <v>8.9999999999999993E-3</v>
      </c>
      <c r="Q16">
        <f t="shared" si="7"/>
        <v>28.571428571428559</v>
      </c>
      <c r="R16">
        <v>8.9999999999999993E-3</v>
      </c>
      <c r="S16">
        <f t="shared" si="8"/>
        <v>28.571428571428559</v>
      </c>
      <c r="T16">
        <v>8.9999999999999993E-3</v>
      </c>
      <c r="U16">
        <f t="shared" si="9"/>
        <v>28.571428571428559</v>
      </c>
      <c r="V16">
        <v>8.9999999999999993E-3</v>
      </c>
      <c r="W16">
        <f t="shared" si="10"/>
        <v>28.571428571428559</v>
      </c>
      <c r="X16">
        <v>8.9999999999999993E-3</v>
      </c>
      <c r="Y16">
        <f t="shared" si="11"/>
        <v>28.571428571428559</v>
      </c>
      <c r="Z16">
        <v>8.9999999999999993E-3</v>
      </c>
      <c r="AA16">
        <f t="shared" si="12"/>
        <v>28.571428571428559</v>
      </c>
    </row>
    <row r="17" spans="1:27" x14ac:dyDescent="0.35">
      <c r="A17">
        <v>13</v>
      </c>
      <c r="B17">
        <v>8.0000000000000002E-3</v>
      </c>
      <c r="C17">
        <f t="shared" si="0"/>
        <v>0</v>
      </c>
      <c r="D17">
        <v>8.0000000000000002E-3</v>
      </c>
      <c r="E17">
        <f t="shared" si="1"/>
        <v>0</v>
      </c>
      <c r="F17">
        <v>8.0000000000000002E-3</v>
      </c>
      <c r="G17">
        <f t="shared" si="2"/>
        <v>0</v>
      </c>
      <c r="H17">
        <v>8.0000000000000002E-3</v>
      </c>
      <c r="I17">
        <f t="shared" si="3"/>
        <v>0</v>
      </c>
      <c r="J17">
        <v>8.0000000000000002E-3</v>
      </c>
      <c r="K17">
        <f t="shared" si="4"/>
        <v>0</v>
      </c>
      <c r="L17">
        <v>8.0000000000000002E-3</v>
      </c>
      <c r="M17">
        <f t="shared" si="5"/>
        <v>0</v>
      </c>
      <c r="N17">
        <v>8.0000000000000002E-3</v>
      </c>
      <c r="O17">
        <f t="shared" si="6"/>
        <v>0</v>
      </c>
      <c r="P17">
        <v>8.0000000000000002E-3</v>
      </c>
      <c r="Q17">
        <f t="shared" si="7"/>
        <v>0</v>
      </c>
      <c r="R17">
        <v>8.0000000000000002E-3</v>
      </c>
      <c r="S17">
        <f t="shared" si="8"/>
        <v>0</v>
      </c>
      <c r="T17">
        <v>8.0000000000000002E-3</v>
      </c>
      <c r="U17">
        <f t="shared" si="9"/>
        <v>0</v>
      </c>
      <c r="V17">
        <v>8.0000000000000002E-3</v>
      </c>
      <c r="W17">
        <f t="shared" si="10"/>
        <v>0</v>
      </c>
      <c r="X17">
        <v>8.0000000000000002E-3</v>
      </c>
      <c r="Y17">
        <f t="shared" si="11"/>
        <v>0</v>
      </c>
      <c r="Z17">
        <v>8.0000000000000002E-3</v>
      </c>
      <c r="AA17">
        <f t="shared" si="12"/>
        <v>0</v>
      </c>
    </row>
    <row r="18" spans="1:27" x14ac:dyDescent="0.35">
      <c r="A18">
        <v>14</v>
      </c>
      <c r="B18">
        <v>7.0000000000000001E-3</v>
      </c>
      <c r="C18">
        <f t="shared" si="0"/>
        <v>0</v>
      </c>
      <c r="D18">
        <v>7.0000000000000001E-3</v>
      </c>
      <c r="E18">
        <f t="shared" si="1"/>
        <v>0</v>
      </c>
      <c r="F18">
        <v>7.0000000000000001E-3</v>
      </c>
      <c r="G18">
        <f t="shared" si="2"/>
        <v>0</v>
      </c>
      <c r="H18">
        <v>7.0000000000000001E-3</v>
      </c>
      <c r="I18">
        <f t="shared" si="3"/>
        <v>0</v>
      </c>
      <c r="J18">
        <v>7.0000000000000001E-3</v>
      </c>
      <c r="K18">
        <f t="shared" si="4"/>
        <v>0</v>
      </c>
      <c r="L18">
        <v>7.0000000000000001E-3</v>
      </c>
      <c r="M18">
        <f t="shared" si="5"/>
        <v>0</v>
      </c>
      <c r="N18">
        <v>7.0000000000000001E-3</v>
      </c>
      <c r="O18">
        <f t="shared" si="6"/>
        <v>0</v>
      </c>
      <c r="P18">
        <v>7.0000000000000001E-3</v>
      </c>
      <c r="Q18">
        <f t="shared" si="7"/>
        <v>0</v>
      </c>
      <c r="R18">
        <v>7.0000000000000001E-3</v>
      </c>
      <c r="S18">
        <f t="shared" si="8"/>
        <v>0</v>
      </c>
      <c r="T18">
        <v>7.0000000000000001E-3</v>
      </c>
      <c r="U18">
        <f t="shared" si="9"/>
        <v>0</v>
      </c>
      <c r="V18">
        <v>7.0000000000000001E-3</v>
      </c>
      <c r="W18">
        <f t="shared" si="10"/>
        <v>0</v>
      </c>
      <c r="X18">
        <v>7.0000000000000001E-3</v>
      </c>
      <c r="Y18">
        <f t="shared" si="11"/>
        <v>0</v>
      </c>
      <c r="Z18">
        <v>7.0000000000000001E-3</v>
      </c>
      <c r="AA18">
        <f t="shared" si="12"/>
        <v>0</v>
      </c>
    </row>
    <row r="19" spans="1:27" x14ac:dyDescent="0.35">
      <c r="A19">
        <v>15</v>
      </c>
      <c r="B19">
        <v>8.0000000000000002E-3</v>
      </c>
      <c r="C19">
        <f t="shared" si="0"/>
        <v>0</v>
      </c>
      <c r="D19">
        <v>8.0000000000000002E-3</v>
      </c>
      <c r="E19">
        <f t="shared" si="1"/>
        <v>0</v>
      </c>
      <c r="F19">
        <v>8.0000000000000002E-3</v>
      </c>
      <c r="G19">
        <f t="shared" si="2"/>
        <v>0</v>
      </c>
      <c r="H19">
        <v>8.0000000000000002E-3</v>
      </c>
      <c r="I19">
        <f t="shared" si="3"/>
        <v>0</v>
      </c>
      <c r="J19">
        <v>8.0000000000000002E-3</v>
      </c>
      <c r="K19">
        <f t="shared" si="4"/>
        <v>0</v>
      </c>
      <c r="L19">
        <v>8.0000000000000002E-3</v>
      </c>
      <c r="M19">
        <f t="shared" si="5"/>
        <v>0</v>
      </c>
      <c r="N19">
        <v>8.0000000000000002E-3</v>
      </c>
      <c r="O19">
        <f t="shared" si="6"/>
        <v>0</v>
      </c>
      <c r="P19">
        <v>8.0000000000000002E-3</v>
      </c>
      <c r="Q19">
        <f t="shared" si="7"/>
        <v>0</v>
      </c>
      <c r="R19">
        <v>8.0000000000000002E-3</v>
      </c>
      <c r="S19">
        <f t="shared" si="8"/>
        <v>0</v>
      </c>
      <c r="T19">
        <v>8.0000000000000002E-3</v>
      </c>
      <c r="U19">
        <f t="shared" si="9"/>
        <v>0</v>
      </c>
      <c r="V19">
        <v>8.0000000000000002E-3</v>
      </c>
      <c r="W19">
        <f t="shared" si="10"/>
        <v>0</v>
      </c>
      <c r="X19">
        <v>8.0000000000000002E-3</v>
      </c>
      <c r="Y19">
        <f t="shared" si="11"/>
        <v>0</v>
      </c>
      <c r="Z19">
        <v>8.0000000000000002E-3</v>
      </c>
      <c r="AA19">
        <f t="shared" si="12"/>
        <v>0</v>
      </c>
    </row>
    <row r="20" spans="1:27" x14ac:dyDescent="0.35">
      <c r="A20">
        <v>16</v>
      </c>
      <c r="B20">
        <v>6.0000000000000001E-3</v>
      </c>
      <c r="C20">
        <f t="shared" si="0"/>
        <v>0</v>
      </c>
      <c r="D20">
        <v>6.0000000000000001E-3</v>
      </c>
      <c r="E20">
        <f t="shared" si="1"/>
        <v>0</v>
      </c>
      <c r="F20">
        <v>6.0000000000000001E-3</v>
      </c>
      <c r="G20">
        <f t="shared" si="2"/>
        <v>0</v>
      </c>
      <c r="H20">
        <v>7.0000000000000001E-3</v>
      </c>
      <c r="I20">
        <f t="shared" si="3"/>
        <v>16.666666666666664</v>
      </c>
      <c r="J20">
        <v>7.0000000000000001E-3</v>
      </c>
      <c r="K20">
        <f t="shared" si="4"/>
        <v>16.666666666666664</v>
      </c>
      <c r="L20">
        <v>7.0000000000000001E-3</v>
      </c>
      <c r="M20">
        <f t="shared" si="5"/>
        <v>16.666666666666664</v>
      </c>
      <c r="N20">
        <v>7.0000000000000001E-3</v>
      </c>
      <c r="O20">
        <f t="shared" si="6"/>
        <v>16.666666666666664</v>
      </c>
      <c r="P20">
        <v>7.0000000000000001E-3</v>
      </c>
      <c r="Q20">
        <f t="shared" si="7"/>
        <v>16.666666666666664</v>
      </c>
      <c r="R20">
        <v>7.0000000000000001E-3</v>
      </c>
      <c r="S20">
        <f t="shared" si="8"/>
        <v>16.666666666666664</v>
      </c>
      <c r="T20">
        <v>7.0000000000000001E-3</v>
      </c>
      <c r="U20">
        <f t="shared" si="9"/>
        <v>16.666666666666664</v>
      </c>
      <c r="V20">
        <v>7.0000000000000001E-3</v>
      </c>
      <c r="W20">
        <f t="shared" si="10"/>
        <v>16.666666666666664</v>
      </c>
      <c r="X20">
        <v>7.0000000000000001E-3</v>
      </c>
      <c r="Y20">
        <f t="shared" si="11"/>
        <v>16.666666666666664</v>
      </c>
      <c r="Z20">
        <v>7.0000000000000001E-3</v>
      </c>
      <c r="AA20">
        <f t="shared" si="12"/>
        <v>16.666666666666664</v>
      </c>
    </row>
    <row r="21" spans="1:27" x14ac:dyDescent="0.35">
      <c r="A21">
        <v>17</v>
      </c>
      <c r="B21">
        <v>5.0000000000000001E-3</v>
      </c>
      <c r="C21">
        <f t="shared" si="0"/>
        <v>0</v>
      </c>
      <c r="D21">
        <v>5.0000000000000001E-3</v>
      </c>
      <c r="E21">
        <f t="shared" si="1"/>
        <v>0</v>
      </c>
      <c r="F21">
        <v>5.0000000000000001E-3</v>
      </c>
      <c r="G21">
        <f t="shared" si="2"/>
        <v>0</v>
      </c>
      <c r="H21">
        <v>5.0000000000000001E-3</v>
      </c>
      <c r="I21">
        <f t="shared" si="3"/>
        <v>0</v>
      </c>
      <c r="J21">
        <v>5.0000000000000001E-3</v>
      </c>
      <c r="K21">
        <f t="shared" si="4"/>
        <v>0</v>
      </c>
      <c r="L21">
        <v>5.0000000000000001E-3</v>
      </c>
      <c r="M21">
        <f t="shared" si="5"/>
        <v>0</v>
      </c>
      <c r="N21">
        <v>5.0000000000000001E-3</v>
      </c>
      <c r="O21">
        <f t="shared" si="6"/>
        <v>0</v>
      </c>
      <c r="P21">
        <v>5.0000000000000001E-3</v>
      </c>
      <c r="Q21">
        <f t="shared" si="7"/>
        <v>0</v>
      </c>
      <c r="R21">
        <v>5.0000000000000001E-3</v>
      </c>
      <c r="S21">
        <f t="shared" si="8"/>
        <v>0</v>
      </c>
      <c r="T21">
        <v>5.0000000000000001E-3</v>
      </c>
      <c r="U21">
        <f t="shared" si="9"/>
        <v>0</v>
      </c>
      <c r="V21">
        <v>5.0000000000000001E-3</v>
      </c>
      <c r="W21">
        <f t="shared" si="10"/>
        <v>0</v>
      </c>
      <c r="X21">
        <v>5.0000000000000001E-3</v>
      </c>
      <c r="Y21">
        <f t="shared" si="11"/>
        <v>0</v>
      </c>
      <c r="Z21">
        <v>5.0000000000000001E-3</v>
      </c>
      <c r="AA21">
        <f t="shared" si="12"/>
        <v>0</v>
      </c>
    </row>
    <row r="22" spans="1:27" x14ac:dyDescent="0.35">
      <c r="A22">
        <v>18</v>
      </c>
      <c r="B22">
        <v>4.0000000000000001E-3</v>
      </c>
      <c r="C22">
        <f t="shared" si="0"/>
        <v>0</v>
      </c>
      <c r="D22">
        <v>4.0000000000000001E-3</v>
      </c>
      <c r="E22">
        <f t="shared" si="1"/>
        <v>0</v>
      </c>
      <c r="F22">
        <v>4.0000000000000001E-3</v>
      </c>
      <c r="G22">
        <f t="shared" si="2"/>
        <v>0</v>
      </c>
      <c r="H22">
        <v>5.0000000000000001E-3</v>
      </c>
      <c r="I22">
        <f t="shared" si="3"/>
        <v>25</v>
      </c>
      <c r="J22">
        <v>5.0000000000000001E-3</v>
      </c>
      <c r="K22">
        <f t="shared" si="4"/>
        <v>25</v>
      </c>
      <c r="L22">
        <v>5.0000000000000001E-3</v>
      </c>
      <c r="M22">
        <f t="shared" si="5"/>
        <v>25</v>
      </c>
      <c r="N22">
        <v>5.0000000000000001E-3</v>
      </c>
      <c r="O22">
        <f t="shared" si="6"/>
        <v>25</v>
      </c>
      <c r="P22">
        <v>5.0000000000000001E-3</v>
      </c>
      <c r="Q22">
        <f t="shared" si="7"/>
        <v>25</v>
      </c>
      <c r="R22">
        <v>5.0000000000000001E-3</v>
      </c>
      <c r="S22">
        <f t="shared" si="8"/>
        <v>25</v>
      </c>
      <c r="T22">
        <v>5.0000000000000001E-3</v>
      </c>
      <c r="U22">
        <f t="shared" si="9"/>
        <v>25</v>
      </c>
      <c r="V22">
        <v>5.0000000000000001E-3</v>
      </c>
      <c r="W22">
        <f t="shared" si="10"/>
        <v>25</v>
      </c>
      <c r="X22">
        <v>5.0000000000000001E-3</v>
      </c>
      <c r="Y22">
        <f t="shared" si="11"/>
        <v>25</v>
      </c>
      <c r="Z22">
        <v>5.0000000000000001E-3</v>
      </c>
      <c r="AA22">
        <f t="shared" si="12"/>
        <v>25</v>
      </c>
    </row>
    <row r="23" spans="1:27" x14ac:dyDescent="0.35">
      <c r="A23">
        <v>19</v>
      </c>
      <c r="B23">
        <v>8.0000000000000002E-3</v>
      </c>
      <c r="C23">
        <f t="shared" si="0"/>
        <v>0</v>
      </c>
      <c r="D23">
        <v>8.0000000000000002E-3</v>
      </c>
      <c r="E23">
        <f t="shared" si="1"/>
        <v>0</v>
      </c>
      <c r="F23">
        <v>8.0000000000000002E-3</v>
      </c>
      <c r="G23">
        <f t="shared" si="2"/>
        <v>0</v>
      </c>
      <c r="H23">
        <v>8.0000000000000002E-3</v>
      </c>
      <c r="I23">
        <f t="shared" si="3"/>
        <v>0</v>
      </c>
      <c r="J23">
        <v>8.0000000000000002E-3</v>
      </c>
      <c r="K23">
        <f t="shared" si="4"/>
        <v>0</v>
      </c>
      <c r="L23">
        <v>7.0000000000000001E-3</v>
      </c>
      <c r="M23">
        <f t="shared" si="5"/>
        <v>-12.5</v>
      </c>
      <c r="N23">
        <v>7.0000000000000001E-3</v>
      </c>
      <c r="O23">
        <f t="shared" si="6"/>
        <v>-12.5</v>
      </c>
      <c r="P23">
        <v>7.0000000000000001E-3</v>
      </c>
      <c r="Q23">
        <f t="shared" si="7"/>
        <v>-12.5</v>
      </c>
      <c r="R23">
        <v>7.0000000000000001E-3</v>
      </c>
      <c r="S23">
        <f t="shared" si="8"/>
        <v>-12.5</v>
      </c>
      <c r="T23">
        <v>7.0000000000000001E-3</v>
      </c>
      <c r="U23">
        <f t="shared" si="9"/>
        <v>-12.5</v>
      </c>
      <c r="V23">
        <v>7.0000000000000001E-3</v>
      </c>
      <c r="W23">
        <f t="shared" si="10"/>
        <v>-12.5</v>
      </c>
      <c r="X23">
        <v>7.0000000000000001E-3</v>
      </c>
      <c r="Y23">
        <f t="shared" si="11"/>
        <v>-12.5</v>
      </c>
      <c r="Z23">
        <v>7.0000000000000001E-3</v>
      </c>
      <c r="AA23">
        <f t="shared" si="12"/>
        <v>-12.5</v>
      </c>
    </row>
    <row r="24" spans="1:27" x14ac:dyDescent="0.35">
      <c r="A24">
        <v>20</v>
      </c>
      <c r="B24">
        <v>7.0000000000000001E-3</v>
      </c>
      <c r="C24">
        <f t="shared" si="0"/>
        <v>0</v>
      </c>
      <c r="D24">
        <v>7.0000000000000001E-3</v>
      </c>
      <c r="E24">
        <f t="shared" si="1"/>
        <v>0</v>
      </c>
      <c r="F24">
        <v>7.0000000000000001E-3</v>
      </c>
      <c r="G24">
        <f t="shared" si="2"/>
        <v>0</v>
      </c>
      <c r="H24">
        <v>7.0000000000000001E-3</v>
      </c>
      <c r="I24">
        <f t="shared" si="3"/>
        <v>0</v>
      </c>
      <c r="J24">
        <v>7.0000000000000001E-3</v>
      </c>
      <c r="K24">
        <f t="shared" si="4"/>
        <v>0</v>
      </c>
      <c r="L24">
        <v>7.0000000000000001E-3</v>
      </c>
      <c r="M24">
        <f t="shared" si="5"/>
        <v>0</v>
      </c>
      <c r="N24">
        <v>7.0000000000000001E-3</v>
      </c>
      <c r="O24">
        <f t="shared" si="6"/>
        <v>0</v>
      </c>
      <c r="P24">
        <v>7.0000000000000001E-3</v>
      </c>
      <c r="Q24">
        <f t="shared" si="7"/>
        <v>0</v>
      </c>
      <c r="R24">
        <v>7.0000000000000001E-3</v>
      </c>
      <c r="S24">
        <f t="shared" si="8"/>
        <v>0</v>
      </c>
      <c r="T24">
        <v>7.0000000000000001E-3</v>
      </c>
      <c r="U24">
        <f t="shared" si="9"/>
        <v>0</v>
      </c>
      <c r="V24">
        <v>7.0000000000000001E-3</v>
      </c>
      <c r="W24">
        <f t="shared" si="10"/>
        <v>0</v>
      </c>
      <c r="X24">
        <v>7.0000000000000001E-3</v>
      </c>
      <c r="Y24">
        <f t="shared" si="11"/>
        <v>0</v>
      </c>
      <c r="Z24">
        <v>7.0000000000000001E-3</v>
      </c>
      <c r="AA24">
        <f t="shared" si="12"/>
        <v>0</v>
      </c>
    </row>
    <row r="26" spans="1:27" x14ac:dyDescent="0.35">
      <c r="B26" t="s">
        <v>4</v>
      </c>
    </row>
    <row r="27" spans="1:27" x14ac:dyDescent="0.35">
      <c r="B27" s="7">
        <v>45171</v>
      </c>
      <c r="C27" s="7"/>
      <c r="D27" s="8"/>
      <c r="E27" s="8"/>
      <c r="F27" s="8"/>
      <c r="G27" s="6"/>
      <c r="H27" s="1">
        <v>45201</v>
      </c>
      <c r="I27" s="1"/>
    </row>
    <row r="28" spans="1:27" x14ac:dyDescent="0.35">
      <c r="A28" t="s">
        <v>3</v>
      </c>
      <c r="B28" s="2">
        <v>0.34722222222222227</v>
      </c>
      <c r="C28" s="2"/>
      <c r="D28" s="2">
        <v>0.47222222222222227</v>
      </c>
      <c r="E28" s="2"/>
      <c r="F28" s="2">
        <v>0.59722222222222221</v>
      </c>
      <c r="G28" s="2"/>
      <c r="H28" s="3">
        <v>0.34722222222222227</v>
      </c>
      <c r="I28" s="3"/>
      <c r="J28" s="2"/>
      <c r="K28" s="2"/>
      <c r="L28" s="2"/>
      <c r="M28" s="2"/>
    </row>
    <row r="29" spans="1:27" x14ac:dyDescent="0.35">
      <c r="A29">
        <v>1</v>
      </c>
      <c r="B29">
        <v>6.0000000000000001E-3</v>
      </c>
      <c r="C29">
        <f>(B29-B29)/B29 *100</f>
        <v>0</v>
      </c>
      <c r="D29">
        <v>0.01</v>
      </c>
      <c r="E29">
        <f>(D29-B29)/B29 *100</f>
        <v>66.666666666666657</v>
      </c>
      <c r="F29">
        <v>1.4999999999999999E-2</v>
      </c>
      <c r="G29">
        <f>(F29-B29)/B29 *100</f>
        <v>149.99999999999997</v>
      </c>
      <c r="H29" s="4">
        <v>2.5000000000000001E-2</v>
      </c>
      <c r="I29">
        <f>(H29-B29)/B29 *100</f>
        <v>316.66666666666669</v>
      </c>
    </row>
    <row r="30" spans="1:27" x14ac:dyDescent="0.35">
      <c r="A30">
        <v>2</v>
      </c>
      <c r="B30">
        <v>0.01</v>
      </c>
      <c r="C30">
        <f t="shared" ref="C30" si="13">(B30-B30)/B30 *100</f>
        <v>0</v>
      </c>
      <c r="D30">
        <v>1.2E-2</v>
      </c>
      <c r="E30">
        <f t="shared" ref="E30:E48" si="14">(D30-B30)/B30 *100</f>
        <v>20</v>
      </c>
      <c r="F30">
        <v>1.4999999999999999E-2</v>
      </c>
      <c r="G30">
        <f t="shared" ref="G30:G48" si="15">(F30-B30)/B30 *100</f>
        <v>49.999999999999986</v>
      </c>
      <c r="H30" s="4">
        <v>2.1000000000000001E-2</v>
      </c>
      <c r="I30">
        <f t="shared" ref="I30:I48" si="16">(H30-B30)/B30 *100</f>
        <v>110.00000000000001</v>
      </c>
    </row>
    <row r="31" spans="1:27" x14ac:dyDescent="0.35">
      <c r="A31">
        <v>3</v>
      </c>
      <c r="B31">
        <v>1.0999999999999999E-2</v>
      </c>
      <c r="C31">
        <f t="shared" ref="C31" si="17">(B31-B31)/B31 *100</f>
        <v>0</v>
      </c>
      <c r="D31">
        <v>1.2E-2</v>
      </c>
      <c r="E31">
        <f t="shared" si="14"/>
        <v>9.0909090909090988</v>
      </c>
      <c r="F31">
        <v>1.7999999999999999E-2</v>
      </c>
      <c r="G31">
        <f t="shared" si="15"/>
        <v>63.636363636363633</v>
      </c>
      <c r="H31" s="4">
        <v>2.5000000000000001E-2</v>
      </c>
      <c r="I31">
        <f t="shared" si="16"/>
        <v>127.27272727272729</v>
      </c>
    </row>
    <row r="32" spans="1:27" x14ac:dyDescent="0.35">
      <c r="A32">
        <v>4</v>
      </c>
      <c r="B32">
        <v>7.0000000000000001E-3</v>
      </c>
      <c r="C32">
        <f t="shared" ref="C32" si="18">(B32-B32)/B32 *100</f>
        <v>0</v>
      </c>
      <c r="D32">
        <v>1.0999999999999999E-2</v>
      </c>
      <c r="E32">
        <f t="shared" si="14"/>
        <v>57.142857142857132</v>
      </c>
      <c r="F32">
        <v>1.7000000000000001E-2</v>
      </c>
      <c r="G32">
        <f t="shared" si="15"/>
        <v>142.85714285714289</v>
      </c>
      <c r="H32" s="4">
        <v>2.3E-2</v>
      </c>
      <c r="I32">
        <f t="shared" si="16"/>
        <v>228.57142857142856</v>
      </c>
    </row>
    <row r="33" spans="1:9" x14ac:dyDescent="0.35">
      <c r="A33">
        <v>5</v>
      </c>
      <c r="B33">
        <v>5.0000000000000001E-3</v>
      </c>
      <c r="C33">
        <f t="shared" ref="C33" si="19">(B33-B33)/B33 *100</f>
        <v>0</v>
      </c>
      <c r="D33">
        <v>8.0000000000000002E-3</v>
      </c>
      <c r="E33">
        <f t="shared" si="14"/>
        <v>60</v>
      </c>
      <c r="F33">
        <v>1.4E-2</v>
      </c>
      <c r="G33">
        <f t="shared" si="15"/>
        <v>180.00000000000003</v>
      </c>
      <c r="H33" s="4">
        <v>1.9E-2</v>
      </c>
      <c r="I33">
        <f t="shared" si="16"/>
        <v>280</v>
      </c>
    </row>
    <row r="34" spans="1:9" x14ac:dyDescent="0.35">
      <c r="A34">
        <v>6</v>
      </c>
      <c r="B34">
        <v>6.0000000000000001E-3</v>
      </c>
      <c r="C34">
        <f t="shared" ref="C34" si="20">(B34-B34)/B34 *100</f>
        <v>0</v>
      </c>
      <c r="D34">
        <v>1.0999999999999999E-2</v>
      </c>
      <c r="E34">
        <f t="shared" si="14"/>
        <v>83.333333333333314</v>
      </c>
      <c r="F34">
        <v>1.6E-2</v>
      </c>
      <c r="G34">
        <f t="shared" si="15"/>
        <v>166.66666666666669</v>
      </c>
      <c r="H34" s="4">
        <v>2.5999999999999999E-2</v>
      </c>
      <c r="I34">
        <f t="shared" si="16"/>
        <v>333.33333333333326</v>
      </c>
    </row>
    <row r="35" spans="1:9" x14ac:dyDescent="0.35">
      <c r="A35">
        <v>7</v>
      </c>
      <c r="B35">
        <v>6.0000000000000001E-3</v>
      </c>
      <c r="C35">
        <f t="shared" ref="C35" si="21">(B35-B35)/B35 *100</f>
        <v>0</v>
      </c>
      <c r="D35">
        <v>1.0999999999999999E-2</v>
      </c>
      <c r="E35">
        <f t="shared" si="14"/>
        <v>83.333333333333314</v>
      </c>
      <c r="F35">
        <v>1.4E-2</v>
      </c>
      <c r="G35">
        <f t="shared" si="15"/>
        <v>133.33333333333331</v>
      </c>
      <c r="H35" s="4">
        <v>1.7000000000000001E-2</v>
      </c>
      <c r="I35">
        <f t="shared" si="16"/>
        <v>183.33333333333334</v>
      </c>
    </row>
    <row r="36" spans="1:9" x14ac:dyDescent="0.35">
      <c r="A36">
        <v>8</v>
      </c>
      <c r="B36">
        <v>8.0000000000000002E-3</v>
      </c>
      <c r="C36">
        <f t="shared" ref="C36" si="22">(B36-B36)/B36 *100</f>
        <v>0</v>
      </c>
      <c r="D36">
        <v>1.0999999999999999E-2</v>
      </c>
      <c r="E36">
        <f t="shared" si="14"/>
        <v>37.499999999999986</v>
      </c>
      <c r="F36">
        <v>1.6E-2</v>
      </c>
      <c r="G36">
        <f t="shared" si="15"/>
        <v>100</v>
      </c>
      <c r="H36" s="4">
        <v>0.02</v>
      </c>
      <c r="I36">
        <f t="shared" si="16"/>
        <v>150</v>
      </c>
    </row>
    <row r="37" spans="1:9" x14ac:dyDescent="0.35">
      <c r="A37">
        <v>9</v>
      </c>
      <c r="B37">
        <v>4.0000000000000001E-3</v>
      </c>
      <c r="C37">
        <f t="shared" ref="C37" si="23">(B37-B37)/B37 *100</f>
        <v>0</v>
      </c>
      <c r="D37">
        <v>0.01</v>
      </c>
      <c r="E37">
        <f t="shared" si="14"/>
        <v>150</v>
      </c>
      <c r="F37">
        <v>1.2E-2</v>
      </c>
      <c r="G37">
        <f t="shared" si="15"/>
        <v>200</v>
      </c>
      <c r="H37" s="4">
        <v>1.7999999999999999E-2</v>
      </c>
      <c r="I37">
        <f t="shared" si="16"/>
        <v>349.99999999999994</v>
      </c>
    </row>
    <row r="38" spans="1:9" x14ac:dyDescent="0.35">
      <c r="A38">
        <v>10</v>
      </c>
      <c r="B38">
        <v>6.0000000000000001E-3</v>
      </c>
      <c r="C38">
        <f t="shared" ref="C38" si="24">(B38-B38)/B38 *100</f>
        <v>0</v>
      </c>
      <c r="D38">
        <v>0.01</v>
      </c>
      <c r="E38">
        <f t="shared" si="14"/>
        <v>66.666666666666657</v>
      </c>
      <c r="F38">
        <v>1.4E-2</v>
      </c>
      <c r="G38">
        <f t="shared" si="15"/>
        <v>133.33333333333331</v>
      </c>
      <c r="H38" s="4">
        <v>2.1000000000000001E-2</v>
      </c>
      <c r="I38">
        <f t="shared" si="16"/>
        <v>250</v>
      </c>
    </row>
    <row r="39" spans="1:9" x14ac:dyDescent="0.35">
      <c r="A39">
        <v>11</v>
      </c>
      <c r="B39">
        <v>7.0000000000000001E-3</v>
      </c>
      <c r="C39">
        <f t="shared" ref="C39" si="25">(B39-B39)/B39 *100</f>
        <v>0</v>
      </c>
      <c r="D39">
        <v>1.2E-2</v>
      </c>
      <c r="E39">
        <f t="shared" si="14"/>
        <v>71.428571428571431</v>
      </c>
      <c r="F39">
        <v>1.7000000000000001E-2</v>
      </c>
      <c r="G39">
        <f t="shared" si="15"/>
        <v>142.85714285714289</v>
      </c>
      <c r="H39" s="4">
        <v>2.1000000000000001E-2</v>
      </c>
      <c r="I39">
        <f t="shared" si="16"/>
        <v>200.00000000000006</v>
      </c>
    </row>
    <row r="40" spans="1:9" x14ac:dyDescent="0.35">
      <c r="A40">
        <v>12</v>
      </c>
      <c r="B40">
        <v>6.0000000000000001E-3</v>
      </c>
      <c r="C40">
        <f t="shared" ref="C40" si="26">(B40-B40)/B40 *100</f>
        <v>0</v>
      </c>
      <c r="D40">
        <v>1.0999999999999999E-2</v>
      </c>
      <c r="E40">
        <f t="shared" si="14"/>
        <v>83.333333333333314</v>
      </c>
      <c r="F40">
        <v>1.7000000000000001E-2</v>
      </c>
      <c r="G40">
        <f t="shared" si="15"/>
        <v>183.33333333333334</v>
      </c>
      <c r="H40" s="4">
        <v>2.4E-2</v>
      </c>
      <c r="I40">
        <f t="shared" si="16"/>
        <v>300.00000000000006</v>
      </c>
    </row>
    <row r="41" spans="1:9" x14ac:dyDescent="0.35">
      <c r="A41">
        <v>13</v>
      </c>
      <c r="B41">
        <v>6.0000000000000001E-3</v>
      </c>
      <c r="C41">
        <f t="shared" ref="C41" si="27">(B41-B41)/B41 *100</f>
        <v>0</v>
      </c>
      <c r="D41">
        <v>0.01</v>
      </c>
      <c r="E41">
        <f t="shared" si="14"/>
        <v>66.666666666666657</v>
      </c>
      <c r="F41">
        <v>1.4E-2</v>
      </c>
      <c r="G41">
        <f t="shared" si="15"/>
        <v>133.33333333333331</v>
      </c>
      <c r="H41" s="4">
        <v>2.3E-2</v>
      </c>
      <c r="I41">
        <f t="shared" si="16"/>
        <v>283.33333333333337</v>
      </c>
    </row>
    <row r="42" spans="1:9" x14ac:dyDescent="0.35">
      <c r="A42">
        <v>14</v>
      </c>
      <c r="B42">
        <v>8.9999999999999993E-3</v>
      </c>
      <c r="C42">
        <f t="shared" ref="C42" si="28">(B42-B42)/B42 *100</f>
        <v>0</v>
      </c>
      <c r="D42">
        <v>1.2999999999999999E-2</v>
      </c>
      <c r="E42">
        <f t="shared" si="14"/>
        <v>44.44444444444445</v>
      </c>
      <c r="F42">
        <v>1.9E-2</v>
      </c>
      <c r="G42">
        <f t="shared" si="15"/>
        <v>111.11111111111111</v>
      </c>
      <c r="H42" s="4">
        <v>2.9000000000000001E-2</v>
      </c>
      <c r="I42">
        <f t="shared" si="16"/>
        <v>222.22222222222229</v>
      </c>
    </row>
    <row r="43" spans="1:9" x14ac:dyDescent="0.35">
      <c r="A43">
        <v>15</v>
      </c>
      <c r="B43">
        <v>8.0000000000000002E-3</v>
      </c>
      <c r="C43">
        <f t="shared" ref="C43" si="29">(B43-B43)/B43 *100</f>
        <v>0</v>
      </c>
      <c r="D43">
        <v>1.2999999999999999E-2</v>
      </c>
      <c r="E43">
        <f t="shared" si="14"/>
        <v>62.499999999999986</v>
      </c>
      <c r="F43">
        <v>1.4999999999999999E-2</v>
      </c>
      <c r="G43">
        <f t="shared" si="15"/>
        <v>87.499999999999986</v>
      </c>
      <c r="H43" s="4">
        <v>0.03</v>
      </c>
      <c r="I43">
        <f t="shared" si="16"/>
        <v>275</v>
      </c>
    </row>
    <row r="44" spans="1:9" x14ac:dyDescent="0.35">
      <c r="A44">
        <v>16</v>
      </c>
      <c r="B44">
        <v>5.0000000000000001E-3</v>
      </c>
      <c r="C44">
        <f t="shared" ref="C44" si="30">(B44-B44)/B44 *100</f>
        <v>0</v>
      </c>
      <c r="D44">
        <v>0.01</v>
      </c>
      <c r="E44">
        <f t="shared" si="14"/>
        <v>100</v>
      </c>
      <c r="F44">
        <v>1.4999999999999999E-2</v>
      </c>
      <c r="G44">
        <f t="shared" si="15"/>
        <v>199.99999999999994</v>
      </c>
      <c r="H44" s="4">
        <v>2.4E-2</v>
      </c>
      <c r="I44">
        <f t="shared" si="16"/>
        <v>380</v>
      </c>
    </row>
    <row r="45" spans="1:9" x14ac:dyDescent="0.35">
      <c r="A45">
        <v>17</v>
      </c>
      <c r="B45">
        <v>8.0000000000000002E-3</v>
      </c>
      <c r="C45">
        <f t="shared" ref="C45" si="31">(B45-B45)/B45 *100</f>
        <v>0</v>
      </c>
      <c r="D45">
        <v>1.2999999999999999E-2</v>
      </c>
      <c r="E45">
        <f t="shared" si="14"/>
        <v>62.499999999999986</v>
      </c>
      <c r="F45">
        <v>1.7999999999999999E-2</v>
      </c>
      <c r="G45">
        <f t="shared" si="15"/>
        <v>124.99999999999997</v>
      </c>
      <c r="H45" s="4">
        <v>1.9E-2</v>
      </c>
      <c r="I45">
        <f t="shared" si="16"/>
        <v>137.5</v>
      </c>
    </row>
    <row r="46" spans="1:9" x14ac:dyDescent="0.35">
      <c r="A46">
        <v>18</v>
      </c>
      <c r="B46">
        <v>6.0000000000000001E-3</v>
      </c>
      <c r="C46">
        <f t="shared" ref="C46" si="32">(B46-B46)/B46 *100</f>
        <v>0</v>
      </c>
      <c r="D46">
        <v>0.01</v>
      </c>
      <c r="E46">
        <f t="shared" si="14"/>
        <v>66.666666666666657</v>
      </c>
      <c r="F46">
        <v>1.4E-2</v>
      </c>
      <c r="G46">
        <f t="shared" si="15"/>
        <v>133.33333333333331</v>
      </c>
      <c r="H46" s="4">
        <v>2.7E-2</v>
      </c>
      <c r="I46">
        <f t="shared" si="16"/>
        <v>349.99999999999994</v>
      </c>
    </row>
    <row r="47" spans="1:9" x14ac:dyDescent="0.35">
      <c r="A47">
        <v>19</v>
      </c>
      <c r="B47">
        <v>6.0000000000000001E-3</v>
      </c>
      <c r="C47">
        <f t="shared" ref="C47" si="33">(B47-B47)/B47 *100</f>
        <v>0</v>
      </c>
      <c r="D47">
        <v>1.2E-2</v>
      </c>
      <c r="E47">
        <f t="shared" si="14"/>
        <v>100</v>
      </c>
      <c r="F47">
        <v>1.6E-2</v>
      </c>
      <c r="G47">
        <f t="shared" si="15"/>
        <v>166.66666666666669</v>
      </c>
      <c r="H47" s="4">
        <v>3.1E-2</v>
      </c>
      <c r="I47">
        <f t="shared" si="16"/>
        <v>416.66666666666669</v>
      </c>
    </row>
    <row r="48" spans="1:9" x14ac:dyDescent="0.35">
      <c r="A48">
        <v>20</v>
      </c>
      <c r="B48">
        <v>7.0000000000000001E-3</v>
      </c>
      <c r="C48">
        <f t="shared" ref="C48" si="34">(B48-B48)/B48 *100</f>
        <v>0</v>
      </c>
      <c r="D48">
        <v>1.4E-2</v>
      </c>
      <c r="E48">
        <f t="shared" si="14"/>
        <v>100</v>
      </c>
      <c r="F48">
        <v>1.7000000000000001E-2</v>
      </c>
      <c r="G48">
        <f t="shared" si="15"/>
        <v>142.85714285714289</v>
      </c>
      <c r="H48" s="4">
        <v>2.4E-2</v>
      </c>
      <c r="I48">
        <f t="shared" si="16"/>
        <v>242.85714285714289</v>
      </c>
    </row>
  </sheetData>
  <mergeCells count="2">
    <mergeCell ref="B3:F3"/>
    <mergeCell ref="B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C7E6-A511-44FF-94AD-28E6DF30FA5E}">
  <dimension ref="A1:U51"/>
  <sheetViews>
    <sheetView tabSelected="1" workbookViewId="0">
      <selection activeCell="L15" sqref="L15"/>
    </sheetView>
  </sheetViews>
  <sheetFormatPr defaultRowHeight="14.5" x14ac:dyDescent="0.35"/>
  <sheetData>
    <row r="1" spans="1:21" x14ac:dyDescent="0.35">
      <c r="A1" t="s">
        <v>14</v>
      </c>
    </row>
    <row r="4" spans="1:21" x14ac:dyDescent="0.35">
      <c r="A4" t="s">
        <v>3</v>
      </c>
      <c r="B4">
        <v>0</v>
      </c>
      <c r="C4">
        <v>3</v>
      </c>
      <c r="D4">
        <v>6</v>
      </c>
      <c r="E4">
        <v>24</v>
      </c>
      <c r="F4">
        <v>72</v>
      </c>
      <c r="G4">
        <v>120</v>
      </c>
      <c r="H4">
        <v>168</v>
      </c>
      <c r="I4">
        <v>216</v>
      </c>
      <c r="M4">
        <v>0</v>
      </c>
      <c r="N4">
        <v>3</v>
      </c>
      <c r="O4">
        <v>6</v>
      </c>
      <c r="P4">
        <v>24</v>
      </c>
      <c r="Q4">
        <v>72</v>
      </c>
      <c r="R4">
        <v>120</v>
      </c>
      <c r="S4">
        <v>168</v>
      </c>
      <c r="T4">
        <v>216</v>
      </c>
      <c r="U4">
        <v>240</v>
      </c>
    </row>
    <row r="5" spans="1:21" x14ac:dyDescent="0.35">
      <c r="A5">
        <v>1</v>
      </c>
      <c r="B5">
        <v>0</v>
      </c>
      <c r="C5">
        <v>0</v>
      </c>
      <c r="D5">
        <v>0</v>
      </c>
      <c r="E5">
        <v>14.285714285714285</v>
      </c>
      <c r="F5">
        <v>28.571428571428559</v>
      </c>
      <c r="G5">
        <v>0</v>
      </c>
      <c r="H5">
        <v>0</v>
      </c>
      <c r="I5">
        <v>0</v>
      </c>
      <c r="L5" t="s">
        <v>23</v>
      </c>
      <c r="M5">
        <v>0</v>
      </c>
      <c r="N5">
        <v>0.625</v>
      </c>
      <c r="O5">
        <v>1.25</v>
      </c>
      <c r="P5">
        <v>5.2976190476190466</v>
      </c>
      <c r="Q5">
        <v>6.011904761904761</v>
      </c>
      <c r="R5">
        <v>3.5119047619047605</v>
      </c>
      <c r="S5">
        <v>3.5119047619047605</v>
      </c>
      <c r="T5">
        <v>3.5119047619047605</v>
      </c>
      <c r="U5">
        <v>3.5119047619047605</v>
      </c>
    </row>
    <row r="6" spans="1:21" x14ac:dyDescent="0.35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L6" t="s">
        <v>4</v>
      </c>
      <c r="M6">
        <v>0</v>
      </c>
      <c r="N6">
        <v>69.563672438672441</v>
      </c>
      <c r="O6">
        <v>137.29094516594515</v>
      </c>
      <c r="P6">
        <v>256.8378427128427</v>
      </c>
    </row>
    <row r="7" spans="1:21" x14ac:dyDescent="0.35">
      <c r="A7">
        <v>3</v>
      </c>
      <c r="B7">
        <v>0</v>
      </c>
      <c r="C7">
        <v>-12.5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1" x14ac:dyDescent="0.35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21" x14ac:dyDescent="0.35">
      <c r="A9">
        <v>5</v>
      </c>
      <c r="B9">
        <v>0</v>
      </c>
      <c r="C9">
        <v>25</v>
      </c>
      <c r="D9">
        <v>25</v>
      </c>
      <c r="E9">
        <v>50</v>
      </c>
      <c r="F9">
        <v>50</v>
      </c>
      <c r="G9">
        <v>50</v>
      </c>
      <c r="H9">
        <v>50</v>
      </c>
      <c r="I9">
        <v>50</v>
      </c>
    </row>
    <row r="10" spans="1:21" x14ac:dyDescent="0.35">
      <c r="A10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21" x14ac:dyDescent="0.35">
      <c r="A11">
        <v>7</v>
      </c>
      <c r="B11">
        <v>0</v>
      </c>
      <c r="C11">
        <v>0</v>
      </c>
      <c r="D11">
        <v>0</v>
      </c>
      <c r="E11">
        <v>0</v>
      </c>
      <c r="F11">
        <v>-12.5</v>
      </c>
      <c r="G11">
        <v>-12.5</v>
      </c>
      <c r="H11">
        <v>-12.5</v>
      </c>
      <c r="I11">
        <v>-12.5</v>
      </c>
      <c r="M11">
        <v>0</v>
      </c>
      <c r="N11">
        <v>2.7962557201786065</v>
      </c>
      <c r="O11">
        <v>2.4499999999999997</v>
      </c>
      <c r="P11">
        <v>5.5487881296371686</v>
      </c>
      <c r="Q11">
        <v>6.2051914220912883</v>
      </c>
      <c r="R11">
        <v>7.0453429104016063</v>
      </c>
      <c r="S11">
        <v>7.0453429104016063</v>
      </c>
      <c r="T11">
        <v>7.0453429104016063</v>
      </c>
      <c r="U11">
        <v>7.0453429104016063</v>
      </c>
    </row>
    <row r="12" spans="1:21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>
        <v>0</v>
      </c>
      <c r="N12">
        <v>13.47955069176659</v>
      </c>
      <c r="O12">
        <v>17.874192958214103</v>
      </c>
      <c r="P12">
        <v>38.393801856806789</v>
      </c>
    </row>
    <row r="13" spans="1:21" x14ac:dyDescent="0.35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21" x14ac:dyDescent="0.3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21" x14ac:dyDescent="0.35">
      <c r="A15">
        <v>11</v>
      </c>
      <c r="B15">
        <v>0</v>
      </c>
      <c r="C15">
        <v>0</v>
      </c>
      <c r="D15">
        <v>0</v>
      </c>
      <c r="E15">
        <v>0</v>
      </c>
      <c r="F15">
        <v>12.499999999999989</v>
      </c>
      <c r="G15">
        <v>-25</v>
      </c>
      <c r="H15">
        <v>-25</v>
      </c>
      <c r="I15">
        <v>-25</v>
      </c>
    </row>
    <row r="16" spans="1:21" x14ac:dyDescent="0.35">
      <c r="A16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28.571428571428559</v>
      </c>
      <c r="H16">
        <v>28.571428571428559</v>
      </c>
      <c r="I16">
        <v>28.571428571428559</v>
      </c>
    </row>
    <row r="17" spans="1:9" x14ac:dyDescent="0.35">
      <c r="A17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>
        <v>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>
        <v>16</v>
      </c>
      <c r="B20">
        <v>0</v>
      </c>
      <c r="C20">
        <v>0</v>
      </c>
      <c r="D20">
        <v>0</v>
      </c>
      <c r="E20">
        <v>16.666666666666664</v>
      </c>
      <c r="F20">
        <v>16.666666666666664</v>
      </c>
      <c r="G20">
        <v>16.666666666666664</v>
      </c>
      <c r="H20">
        <v>16.666666666666664</v>
      </c>
      <c r="I20">
        <v>16.666666666666664</v>
      </c>
    </row>
    <row r="21" spans="1:9" x14ac:dyDescent="0.35">
      <c r="A21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>
        <v>18</v>
      </c>
      <c r="B22">
        <v>0</v>
      </c>
      <c r="C22">
        <v>0</v>
      </c>
      <c r="D22">
        <v>0</v>
      </c>
      <c r="E22">
        <v>25</v>
      </c>
      <c r="F22">
        <v>25</v>
      </c>
      <c r="G22">
        <v>25</v>
      </c>
      <c r="H22">
        <v>25</v>
      </c>
      <c r="I22">
        <v>25</v>
      </c>
    </row>
    <row r="23" spans="1:9" x14ac:dyDescent="0.35">
      <c r="A23">
        <v>19</v>
      </c>
      <c r="B23">
        <v>0</v>
      </c>
      <c r="C23">
        <v>0</v>
      </c>
      <c r="D23">
        <v>0</v>
      </c>
      <c r="E23">
        <v>0</v>
      </c>
      <c r="F23">
        <v>0</v>
      </c>
      <c r="G23">
        <v>-12.5</v>
      </c>
      <c r="H23">
        <v>-12.5</v>
      </c>
      <c r="I23">
        <v>-12.5</v>
      </c>
    </row>
    <row r="24" spans="1:9" x14ac:dyDescent="0.35">
      <c r="A24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B25">
        <f>AVERAGE(B5:B24)</f>
        <v>0</v>
      </c>
      <c r="C25">
        <f t="shared" ref="C25:I25" si="0">AVERAGE(C5:C24)</f>
        <v>0.625</v>
      </c>
      <c r="D25">
        <f t="shared" si="0"/>
        <v>1.25</v>
      </c>
      <c r="E25">
        <f t="shared" si="0"/>
        <v>5.2976190476190466</v>
      </c>
      <c r="F25">
        <f t="shared" si="0"/>
        <v>6.011904761904761</v>
      </c>
      <c r="G25">
        <f t="shared" si="0"/>
        <v>3.5119047619047605</v>
      </c>
      <c r="H25">
        <f t="shared" si="0"/>
        <v>3.5119047619047605</v>
      </c>
      <c r="I25">
        <f t="shared" si="0"/>
        <v>3.5119047619047605</v>
      </c>
    </row>
    <row r="26" spans="1:9" x14ac:dyDescent="0.35">
      <c r="B26">
        <f>_xlfn.STDEV.S(B5:B24)</f>
        <v>0</v>
      </c>
      <c r="C26">
        <f t="shared" ref="C26:I26" si="1">_xlfn.STDEV.S(C5:C24)</f>
        <v>6.3802223191755054</v>
      </c>
      <c r="D26">
        <f t="shared" si="1"/>
        <v>5.5901699437494745</v>
      </c>
      <c r="E26">
        <f t="shared" si="1"/>
        <v>12.660681072053698</v>
      </c>
      <c r="F26">
        <f t="shared" si="1"/>
        <v>14.158397788974195</v>
      </c>
      <c r="G26">
        <f t="shared" si="1"/>
        <v>16.075373135157349</v>
      </c>
      <c r="H26">
        <f t="shared" si="1"/>
        <v>16.075373135157349</v>
      </c>
      <c r="I26">
        <f t="shared" si="1"/>
        <v>16.075373135157349</v>
      </c>
    </row>
    <row r="27" spans="1:9" x14ac:dyDescent="0.35">
      <c r="B27">
        <f>1.96*B26/SQRT(20)</f>
        <v>0</v>
      </c>
      <c r="C27">
        <f t="shared" ref="C27:I27" si="2">1.96*C26/SQRT(20)</f>
        <v>2.7962557201786065</v>
      </c>
      <c r="D27">
        <f t="shared" si="2"/>
        <v>2.4499999999999997</v>
      </c>
      <c r="E27">
        <f t="shared" si="2"/>
        <v>5.5487881296371686</v>
      </c>
      <c r="F27">
        <f t="shared" si="2"/>
        <v>6.2051914220912883</v>
      </c>
      <c r="G27">
        <f t="shared" si="2"/>
        <v>7.0453429104016063</v>
      </c>
      <c r="H27">
        <f t="shared" si="2"/>
        <v>7.0453429104016063</v>
      </c>
      <c r="I27">
        <f t="shared" si="2"/>
        <v>7.0453429104016063</v>
      </c>
    </row>
    <row r="28" spans="1:9" x14ac:dyDescent="0.35">
      <c r="A28" t="s">
        <v>3</v>
      </c>
    </row>
    <row r="29" spans="1:9" x14ac:dyDescent="0.35">
      <c r="A29">
        <v>1</v>
      </c>
      <c r="B29">
        <v>0</v>
      </c>
      <c r="C29">
        <v>66.666666666666657</v>
      </c>
      <c r="D29">
        <v>149.99999999999997</v>
      </c>
      <c r="E29">
        <v>316.66666666666669</v>
      </c>
    </row>
    <row r="30" spans="1:9" x14ac:dyDescent="0.35">
      <c r="A30">
        <v>2</v>
      </c>
      <c r="B30">
        <v>0</v>
      </c>
      <c r="C30">
        <v>20</v>
      </c>
      <c r="D30">
        <v>49.999999999999986</v>
      </c>
      <c r="E30">
        <v>110.00000000000001</v>
      </c>
    </row>
    <row r="31" spans="1:9" x14ac:dyDescent="0.35">
      <c r="A31">
        <v>3</v>
      </c>
      <c r="B31">
        <v>0</v>
      </c>
      <c r="C31">
        <v>9.0909090909090988</v>
      </c>
      <c r="D31">
        <v>63.636363636363633</v>
      </c>
      <c r="E31">
        <v>127.27272727272729</v>
      </c>
    </row>
    <row r="32" spans="1:9" x14ac:dyDescent="0.35">
      <c r="A32">
        <v>4</v>
      </c>
      <c r="B32">
        <v>0</v>
      </c>
      <c r="C32">
        <v>57.142857142857132</v>
      </c>
      <c r="D32">
        <v>142.85714285714289</v>
      </c>
      <c r="E32">
        <v>228.57142857142856</v>
      </c>
    </row>
    <row r="33" spans="1:5" x14ac:dyDescent="0.35">
      <c r="A33">
        <v>5</v>
      </c>
      <c r="B33">
        <v>0</v>
      </c>
      <c r="C33">
        <v>60</v>
      </c>
      <c r="D33">
        <v>180.00000000000003</v>
      </c>
      <c r="E33">
        <v>280</v>
      </c>
    </row>
    <row r="34" spans="1:5" x14ac:dyDescent="0.35">
      <c r="A34">
        <v>6</v>
      </c>
      <c r="B34">
        <v>0</v>
      </c>
      <c r="C34">
        <v>83.333333333333314</v>
      </c>
      <c r="D34">
        <v>166.66666666666669</v>
      </c>
      <c r="E34">
        <v>333.33333333333326</v>
      </c>
    </row>
    <row r="35" spans="1:5" x14ac:dyDescent="0.35">
      <c r="A35">
        <v>7</v>
      </c>
      <c r="B35">
        <v>0</v>
      </c>
      <c r="C35">
        <v>83.333333333333314</v>
      </c>
      <c r="D35">
        <v>133.33333333333331</v>
      </c>
      <c r="E35">
        <v>183.33333333333334</v>
      </c>
    </row>
    <row r="36" spans="1:5" x14ac:dyDescent="0.35">
      <c r="A36">
        <v>8</v>
      </c>
      <c r="B36">
        <v>0</v>
      </c>
      <c r="C36">
        <v>37.499999999999986</v>
      </c>
      <c r="D36">
        <v>100</v>
      </c>
      <c r="E36">
        <v>150</v>
      </c>
    </row>
    <row r="37" spans="1:5" x14ac:dyDescent="0.35">
      <c r="A37">
        <v>9</v>
      </c>
      <c r="B37">
        <v>0</v>
      </c>
      <c r="C37">
        <v>150</v>
      </c>
      <c r="D37">
        <v>200</v>
      </c>
      <c r="E37">
        <v>349.99999999999994</v>
      </c>
    </row>
    <row r="38" spans="1:5" x14ac:dyDescent="0.35">
      <c r="A38">
        <v>10</v>
      </c>
      <c r="B38">
        <v>0</v>
      </c>
      <c r="C38">
        <v>66.666666666666657</v>
      </c>
      <c r="D38">
        <v>133.33333333333331</v>
      </c>
      <c r="E38">
        <v>250</v>
      </c>
    </row>
    <row r="39" spans="1:5" x14ac:dyDescent="0.35">
      <c r="A39">
        <v>11</v>
      </c>
      <c r="B39">
        <v>0</v>
      </c>
      <c r="C39">
        <v>71.428571428571431</v>
      </c>
      <c r="D39">
        <v>142.85714285714289</v>
      </c>
      <c r="E39">
        <v>200.00000000000006</v>
      </c>
    </row>
    <row r="40" spans="1:5" x14ac:dyDescent="0.35">
      <c r="A40">
        <v>12</v>
      </c>
      <c r="B40">
        <v>0</v>
      </c>
      <c r="C40">
        <v>83.333333333333314</v>
      </c>
      <c r="D40">
        <v>183.33333333333334</v>
      </c>
      <c r="E40">
        <v>300.00000000000006</v>
      </c>
    </row>
    <row r="41" spans="1:5" x14ac:dyDescent="0.35">
      <c r="A41">
        <v>13</v>
      </c>
      <c r="B41">
        <v>0</v>
      </c>
      <c r="C41">
        <v>66.666666666666657</v>
      </c>
      <c r="D41">
        <v>133.33333333333331</v>
      </c>
      <c r="E41">
        <v>283.33333333333337</v>
      </c>
    </row>
    <row r="42" spans="1:5" x14ac:dyDescent="0.35">
      <c r="A42">
        <v>14</v>
      </c>
      <c r="B42">
        <v>0</v>
      </c>
      <c r="C42">
        <v>44.44444444444445</v>
      </c>
      <c r="D42">
        <v>111.11111111111111</v>
      </c>
      <c r="E42">
        <v>222.22222222222229</v>
      </c>
    </row>
    <row r="43" spans="1:5" x14ac:dyDescent="0.35">
      <c r="A43">
        <v>15</v>
      </c>
      <c r="B43">
        <v>0</v>
      </c>
      <c r="C43">
        <v>62.499999999999986</v>
      </c>
      <c r="D43">
        <v>87.499999999999986</v>
      </c>
      <c r="E43">
        <v>275</v>
      </c>
    </row>
    <row r="44" spans="1:5" x14ac:dyDescent="0.35">
      <c r="A44">
        <v>16</v>
      </c>
      <c r="B44">
        <v>0</v>
      </c>
      <c r="C44">
        <v>100</v>
      </c>
      <c r="D44">
        <v>199.99999999999994</v>
      </c>
      <c r="E44">
        <v>380</v>
      </c>
    </row>
    <row r="45" spans="1:5" x14ac:dyDescent="0.35">
      <c r="A45">
        <v>17</v>
      </c>
      <c r="B45">
        <v>0</v>
      </c>
      <c r="C45">
        <v>62.499999999999986</v>
      </c>
      <c r="D45">
        <v>124.99999999999997</v>
      </c>
      <c r="E45">
        <v>137.5</v>
      </c>
    </row>
    <row r="46" spans="1:5" x14ac:dyDescent="0.35">
      <c r="A46">
        <v>18</v>
      </c>
      <c r="B46">
        <v>0</v>
      </c>
      <c r="C46">
        <v>66.666666666666657</v>
      </c>
      <c r="D46">
        <v>133.33333333333331</v>
      </c>
      <c r="E46">
        <v>349.99999999999994</v>
      </c>
    </row>
    <row r="47" spans="1:5" x14ac:dyDescent="0.35">
      <c r="A47">
        <v>19</v>
      </c>
      <c r="B47">
        <v>0</v>
      </c>
      <c r="C47">
        <v>100</v>
      </c>
      <c r="D47">
        <v>166.66666666666669</v>
      </c>
      <c r="E47">
        <v>416.66666666666669</v>
      </c>
    </row>
    <row r="48" spans="1:5" x14ac:dyDescent="0.35">
      <c r="A48">
        <v>20</v>
      </c>
      <c r="B48">
        <v>0</v>
      </c>
      <c r="C48">
        <v>100</v>
      </c>
      <c r="D48">
        <v>142.85714285714289</v>
      </c>
      <c r="E48">
        <v>242.85714285714289</v>
      </c>
    </row>
    <row r="49" spans="2:5" x14ac:dyDescent="0.35">
      <c r="B49">
        <f>AVERAGE(B29:B48)</f>
        <v>0</v>
      </c>
      <c r="C49">
        <f t="shared" ref="C49" si="3">AVERAGE(C29:C48)</f>
        <v>69.563672438672441</v>
      </c>
      <c r="D49">
        <f t="shared" ref="D49" si="4">AVERAGE(D29:D48)</f>
        <v>137.29094516594515</v>
      </c>
      <c r="E49">
        <f t="shared" ref="E49" si="5">AVERAGE(E29:E48)</f>
        <v>256.8378427128427</v>
      </c>
    </row>
    <row r="50" spans="2:5" x14ac:dyDescent="0.35">
      <c r="B50">
        <f>_xlfn.STDEV.S(B29:B48)</f>
        <v>0</v>
      </c>
      <c r="C50">
        <f t="shared" ref="C50:E50" si="6">_xlfn.STDEV.S(C29:C48)</f>
        <v>30.756318013208585</v>
      </c>
      <c r="D50">
        <f t="shared" si="6"/>
        <v>40.783582140321222</v>
      </c>
      <c r="E50">
        <f t="shared" si="6"/>
        <v>87.603215169875142</v>
      </c>
    </row>
    <row r="51" spans="2:5" x14ac:dyDescent="0.35">
      <c r="B51">
        <f>1.96*B50/SQRT(20)</f>
        <v>0</v>
      </c>
      <c r="C51">
        <f t="shared" ref="C51" si="7">1.96*C50/SQRT(20)</f>
        <v>13.47955069176659</v>
      </c>
      <c r="D51">
        <f t="shared" ref="D51" si="8">1.96*D50/SQRT(20)</f>
        <v>17.874192958214103</v>
      </c>
      <c r="E51">
        <f t="shared" ref="E51" si="9">1.96*E50/SQRT(20)</f>
        <v>38.393801856806789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7EA2-5E56-490F-8E45-7A902632C11E}">
  <dimension ref="A1:K9"/>
  <sheetViews>
    <sheetView workbookViewId="0">
      <selection activeCell="M14" sqref="M14"/>
    </sheetView>
  </sheetViews>
  <sheetFormatPr defaultRowHeight="14.5" x14ac:dyDescent="0.35"/>
  <cols>
    <col min="2" max="2" width="11.36328125" customWidth="1"/>
    <col min="3" max="3" width="10.54296875" customWidth="1"/>
  </cols>
  <sheetData>
    <row r="1" spans="1:11" x14ac:dyDescent="0.35">
      <c r="A1" t="s">
        <v>5</v>
      </c>
    </row>
    <row r="3" spans="1:11" x14ac:dyDescent="0.35">
      <c r="A3" t="s">
        <v>6</v>
      </c>
      <c r="B3" s="1">
        <v>45171</v>
      </c>
      <c r="C3" t="s">
        <v>7</v>
      </c>
    </row>
    <row r="5" spans="1:11" x14ac:dyDescent="0.35">
      <c r="A5" t="s">
        <v>8</v>
      </c>
      <c r="B5" s="1">
        <v>45201</v>
      </c>
      <c r="C5" t="s">
        <v>1</v>
      </c>
      <c r="D5" t="s">
        <v>2</v>
      </c>
      <c r="E5" t="s">
        <v>13</v>
      </c>
      <c r="F5" t="s">
        <v>15</v>
      </c>
      <c r="G5" t="s">
        <v>16</v>
      </c>
      <c r="H5" t="s">
        <v>18</v>
      </c>
      <c r="I5" t="s">
        <v>20</v>
      </c>
      <c r="J5" t="s">
        <v>21</v>
      </c>
      <c r="K5" t="s">
        <v>22</v>
      </c>
    </row>
    <row r="6" spans="1:11" x14ac:dyDescent="0.35">
      <c r="A6">
        <v>1</v>
      </c>
      <c r="B6" s="5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2</v>
      </c>
      <c r="B7" s="5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3</v>
      </c>
      <c r="B8" s="5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4</v>
      </c>
      <c r="B9" s="5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F60E-AB8A-46A1-863E-D9633F5D3756}">
  <dimension ref="A1:D8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t="s">
        <v>9</v>
      </c>
    </row>
    <row r="3" spans="1:4" x14ac:dyDescent="0.35">
      <c r="B3" t="s">
        <v>10</v>
      </c>
      <c r="C3" t="s">
        <v>11</v>
      </c>
      <c r="D3" t="s">
        <v>9</v>
      </c>
    </row>
    <row r="4" spans="1:4" x14ac:dyDescent="0.35">
      <c r="B4">
        <v>3.7999999999999999E-2</v>
      </c>
      <c r="C4">
        <v>8.9999999999999993E-3</v>
      </c>
      <c r="D4">
        <f>C4/(B4+C4)</f>
        <v>0.19148936170212766</v>
      </c>
    </row>
    <row r="5" spans="1:4" x14ac:dyDescent="0.35">
      <c r="B5">
        <v>4.3999999999999997E-2</v>
      </c>
      <c r="C5">
        <v>1.2E-2</v>
      </c>
      <c r="D5">
        <f t="shared" ref="D5:D6" si="0">C5/(B5+C5)</f>
        <v>0.2142857142857143</v>
      </c>
    </row>
    <row r="6" spans="1:4" x14ac:dyDescent="0.35">
      <c r="B6">
        <v>4.8000000000000001E-2</v>
      </c>
      <c r="C6">
        <v>1.2999999999999999E-2</v>
      </c>
      <c r="D6">
        <f t="shared" si="0"/>
        <v>0.21311475409836064</v>
      </c>
    </row>
    <row r="7" spans="1:4" x14ac:dyDescent="0.35">
      <c r="B7" s="9" t="s">
        <v>12</v>
      </c>
      <c r="C7" s="9"/>
      <c r="D7">
        <f>AVERAGE(D4:D6)</f>
        <v>0.2062966100287342</v>
      </c>
    </row>
    <row r="8" spans="1:4" x14ac:dyDescent="0.35">
      <c r="D8">
        <f>_xlfn.STDEV.S(D4:D6)</f>
        <v>1.2836811878127529E-2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Imbibition</vt:lpstr>
      <vt:lpstr>Sheet1</vt:lpstr>
      <vt:lpstr>Sheet2</vt:lpstr>
      <vt:lpstr>Germination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2023-02-14T16:05:27Z</dcterms:created>
  <dcterms:modified xsi:type="dcterms:W3CDTF">2026-02-21T02:28:39Z</dcterms:modified>
</cp:coreProperties>
</file>