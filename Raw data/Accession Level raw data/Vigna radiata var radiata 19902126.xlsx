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F39A4250-E8BD-4F9E-8E4E-527D6BA5D234}" xr6:coauthVersionLast="47" xr6:coauthVersionMax="47" xr10:uidLastSave="{00000000-0000-0000-0000-000000000000}"/>
  <bookViews>
    <workbookView xWindow="-110" yWindow="-110" windowWidth="19420" windowHeight="10300" activeTab="2" xr2:uid="{43612560-C013-4048-A817-1C30B7EDF40B}"/>
  </bookViews>
  <sheets>
    <sheet name="Imbibition" sheetId="1" r:id="rId1"/>
    <sheet name="Sheet1" sheetId="4" r:id="rId2"/>
    <sheet name="Sheet2" sheetId="5" r:id="rId3"/>
    <sheet name="SC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5" l="1"/>
  <c r="E51" i="5"/>
  <c r="E52" i="5" s="1"/>
  <c r="D51" i="5"/>
  <c r="D52" i="5" s="1"/>
  <c r="C51" i="5"/>
  <c r="C52" i="5" s="1"/>
  <c r="B51" i="5"/>
  <c r="E50" i="5"/>
  <c r="D50" i="5"/>
  <c r="C50" i="5"/>
  <c r="B50" i="5"/>
  <c r="G26" i="5"/>
  <c r="G27" i="5" s="1"/>
  <c r="F26" i="5"/>
  <c r="F27" i="5" s="1"/>
  <c r="C25" i="5"/>
  <c r="D25" i="5"/>
  <c r="E25" i="5"/>
  <c r="H25" i="5"/>
  <c r="I25" i="5"/>
  <c r="C26" i="5"/>
  <c r="C27" i="5" s="1"/>
  <c r="D26" i="5"/>
  <c r="E26" i="5"/>
  <c r="H26" i="5"/>
  <c r="H27" i="5" s="1"/>
  <c r="I26" i="5"/>
  <c r="I27" i="5" s="1"/>
  <c r="D27" i="5"/>
  <c r="E27" i="5"/>
  <c r="B27" i="5"/>
  <c r="B26" i="5"/>
  <c r="B25" i="5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5" i="4"/>
  <c r="D6" i="3"/>
  <c r="D5" i="3"/>
  <c r="D4" i="3"/>
  <c r="D8" i="3" s="1"/>
  <c r="G25" i="5" l="1"/>
  <c r="F25" i="5"/>
  <c r="D7" i="3"/>
</calcChain>
</file>

<file path=xl/sharedStrings.xml><?xml version="1.0" encoding="utf-8"?>
<sst xmlns="http://schemas.openxmlformats.org/spreadsheetml/2006/main" count="35" uniqueCount="17">
  <si>
    <t>UT</t>
  </si>
  <si>
    <t>Seed no.</t>
  </si>
  <si>
    <t>MS</t>
  </si>
  <si>
    <t>Vigna radiata var radiata</t>
  </si>
  <si>
    <t>16/2/2023</t>
  </si>
  <si>
    <t>17/2/2023</t>
  </si>
  <si>
    <t>SCR</t>
  </si>
  <si>
    <t>Embryo weight</t>
  </si>
  <si>
    <t>Seed coat weight</t>
  </si>
  <si>
    <t>Average</t>
  </si>
  <si>
    <t>NI2279</t>
  </si>
  <si>
    <t>20/02/2023</t>
  </si>
  <si>
    <t>21/02/2023</t>
  </si>
  <si>
    <t>22/02/2023</t>
  </si>
  <si>
    <t>24/02/2023</t>
  </si>
  <si>
    <t>Concluded on 24/02/2023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</si>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</sst>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1229396325459313"/>
          <c:h val="0.757970253718285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Sheet2!$L$6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Sheet2!$M$13:$T$13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0.81394255434291585</c:v>
                  </c:pt>
                  <c:pt idx="2">
                    <c:v>11.364399880691931</c:v>
                  </c:pt>
                  <c:pt idx="3">
                    <c:v>36.950668871268142</c:v>
                  </c:pt>
                  <c:pt idx="4">
                    <c:v>39.49450667793576</c:v>
                  </c:pt>
                  <c:pt idx="5">
                    <c:v>41.894486072998141</c:v>
                  </c:pt>
                  <c:pt idx="6">
                    <c:v>40.85011646427003</c:v>
                  </c:pt>
                  <c:pt idx="7">
                    <c:v>40.700998575791566</c:v>
                  </c:pt>
                </c:numCache>
              </c:numRef>
            </c:plus>
            <c:minus>
              <c:numRef>
                <c:f>Sheet2!$M$13:$T$13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0.81394255434291585</c:v>
                  </c:pt>
                  <c:pt idx="2">
                    <c:v>11.364399880691931</c:v>
                  </c:pt>
                  <c:pt idx="3">
                    <c:v>36.950668871268142</c:v>
                  </c:pt>
                  <c:pt idx="4">
                    <c:v>39.49450667793576</c:v>
                  </c:pt>
                  <c:pt idx="5">
                    <c:v>41.894486072998141</c:v>
                  </c:pt>
                  <c:pt idx="6">
                    <c:v>40.85011646427003</c:v>
                  </c:pt>
                  <c:pt idx="7">
                    <c:v>40.700998575791566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Sheet2!$M$5:$T$5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Sheet2!$M$6:$T$6</c:f>
              <c:numCache>
                <c:formatCode>General</c:formatCode>
                <c:ptCount val="8"/>
                <c:pt idx="0">
                  <c:v>0</c:v>
                </c:pt>
                <c:pt idx="1">
                  <c:v>0.57870370370370416</c:v>
                </c:pt>
                <c:pt idx="2">
                  <c:v>9.317777711028338</c:v>
                </c:pt>
                <c:pt idx="3">
                  <c:v>72.338362764397999</c:v>
                </c:pt>
                <c:pt idx="4">
                  <c:v>136.31317766179353</c:v>
                </c:pt>
                <c:pt idx="5">
                  <c:v>156.48116885047438</c:v>
                </c:pt>
                <c:pt idx="6">
                  <c:v>159.66298703229259</c:v>
                </c:pt>
                <c:pt idx="7">
                  <c:v>162.39025975956531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9-4FC9-B82E-AC3A823BCDA8}"/>
            </c:ext>
          </c:extLst>
        </c:ser>
        <c:ser>
          <c:idx val="1"/>
          <c:order val="1"/>
          <c:tx>
            <c:strRef>
              <c:f>Sheet2!$L$7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Sheet2!$M$14:$P$14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5.3184023695730076</c:v>
                  </c:pt>
                  <c:pt idx="2">
                    <c:v>7.7654835474606694</c:v>
                  </c:pt>
                  <c:pt idx="3">
                    <c:v>23.52392054273156</c:v>
                  </c:pt>
                </c:numCache>
              </c:numRef>
            </c:plus>
            <c:minus>
              <c:numRef>
                <c:f>Sheet2!$M$14:$P$14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5.3184023695730076</c:v>
                  </c:pt>
                  <c:pt idx="2">
                    <c:v>7.7654835474606694</c:v>
                  </c:pt>
                  <c:pt idx="3">
                    <c:v>23.52392054273156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Sheet2!$M$5:$T$5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Sheet2!$M$7:$T$7</c:f>
              <c:numCache>
                <c:formatCode>General</c:formatCode>
                <c:ptCount val="8"/>
                <c:pt idx="0">
                  <c:v>0</c:v>
                </c:pt>
                <c:pt idx="1">
                  <c:v>38.710330380261517</c:v>
                </c:pt>
                <c:pt idx="2">
                  <c:v>117.62290852232893</c:v>
                </c:pt>
                <c:pt idx="3">
                  <c:v>198.59015400143335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9-4FC9-B82E-AC3A823BC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037119"/>
        <c:axId val="953037599"/>
      </c:scatterChart>
      <c:valAx>
        <c:axId val="953037119"/>
        <c:scaling>
          <c:orientation val="minMax"/>
          <c:max val="25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37599"/>
        <c:crosses val="autoZero"/>
        <c:crossBetween val="midCat"/>
        <c:majorUnit val="48"/>
      </c:valAx>
      <c:valAx>
        <c:axId val="953037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3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29155730533684"/>
          <c:y val="0.50057815689705454"/>
          <c:w val="0.23341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3648293963252"/>
          <c:y val="3.669724770642202E-2"/>
          <c:w val="0.80730796150481188"/>
          <c:h val="0.7866491688538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Sheet2!$B$5:$I$5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3.4482758620689564</c:v>
                </c:pt>
                <c:pt idx="3">
                  <c:v>3.4482758620689564</c:v>
                </c:pt>
                <c:pt idx="4">
                  <c:v>3.4482758620689564</c:v>
                </c:pt>
                <c:pt idx="5">
                  <c:v>6.8965517241379253</c:v>
                </c:pt>
                <c:pt idx="6">
                  <c:v>6.8965517241379253</c:v>
                </c:pt>
                <c:pt idx="7">
                  <c:v>6.8965517241379253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0-404D-AA9D-2446756D82AD}"/>
            </c:ext>
          </c:extLst>
        </c:ser>
        <c:ser>
          <c:idx val="1"/>
          <c:order val="1"/>
          <c:tx>
            <c:strRef>
              <c:f>Sheet2!$A$6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Sheet2!$B$6:$I$6</c:f>
              <c:numCache>
                <c:formatCode>General</c:formatCode>
                <c:ptCount val="8"/>
                <c:pt idx="0">
                  <c:v>0</c:v>
                </c:pt>
                <c:pt idx="1">
                  <c:v>7.4074074074074137</c:v>
                </c:pt>
                <c:pt idx="2">
                  <c:v>77.777777777777786</c:v>
                </c:pt>
                <c:pt idx="3">
                  <c:v>200.00000000000006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60-404D-AA9D-2446756D82AD}"/>
            </c:ext>
          </c:extLst>
        </c:ser>
        <c:ser>
          <c:idx val="2"/>
          <c:order val="2"/>
          <c:tx>
            <c:strRef>
              <c:f>Sheet2!$A$7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Sheet2!$B$7:$I$7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31.818181818181834</c:v>
                </c:pt>
                <c:pt idx="5">
                  <c:v>59.090909090909115</c:v>
                </c:pt>
                <c:pt idx="6">
                  <c:v>122.72727272727275</c:v>
                </c:pt>
                <c:pt idx="7">
                  <c:v>177.27272727272728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60-404D-AA9D-2446756D82AD}"/>
            </c:ext>
          </c:extLst>
        </c:ser>
        <c:ser>
          <c:idx val="3"/>
          <c:order val="3"/>
          <c:tx>
            <c:strRef>
              <c:f>Sheet2!$A$8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Sheet2!$B$8:$I$8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64.86486486486487</c:v>
                </c:pt>
                <c:pt idx="5">
                  <c:v>194.59459459459464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60-404D-AA9D-2446756D82AD}"/>
            </c:ext>
          </c:extLst>
        </c:ser>
        <c:ser>
          <c:idx val="4"/>
          <c:order val="4"/>
          <c:tx>
            <c:strRef>
              <c:f>Sheet2!$A$9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Sheet2!$B$9:$I$9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178.57142857142858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60-404D-AA9D-2446756D82AD}"/>
            </c:ext>
          </c:extLst>
        </c:ser>
        <c:ser>
          <c:idx val="5"/>
          <c:order val="5"/>
          <c:tx>
            <c:strRef>
              <c:f>Sheet2!$A$10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Sheet2!$B$10:$I$10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179.31034482758622</c:v>
                </c:pt>
                <c:pt idx="4">
                  <c:v>179.31034482758622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60-404D-AA9D-2446756D82AD}"/>
            </c:ext>
          </c:extLst>
        </c:ser>
        <c:ser>
          <c:idx val="6"/>
          <c:order val="6"/>
          <c:tx>
            <c:strRef>
              <c:f>Sheet2!$A$11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Sheet2!$B$11:$I$11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163.63636363636368</c:v>
                </c:pt>
                <c:pt idx="5">
                  <c:v>254.54545454545459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60-404D-AA9D-2446756D82AD}"/>
            </c:ext>
          </c:extLst>
        </c:ser>
        <c:ser>
          <c:idx val="7"/>
          <c:order val="7"/>
          <c:tx>
            <c:strRef>
              <c:f>Sheet2!$A$12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Sheet2!$B$12:$I$12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60-404D-AA9D-2446756D82AD}"/>
            </c:ext>
          </c:extLst>
        </c:ser>
        <c:ser>
          <c:idx val="8"/>
          <c:order val="8"/>
          <c:tx>
            <c:strRef>
              <c:f>Sheet2!$A$13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Sheet2!$B$13:$I$13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60-404D-AA9D-2446756D82AD}"/>
            </c:ext>
          </c:extLst>
        </c:ser>
        <c:ser>
          <c:idx val="9"/>
          <c:order val="9"/>
          <c:tx>
            <c:strRef>
              <c:f>Sheet2!$A$14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Sheet2!$B$14:$I$14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124.99999999999997</c:v>
                </c:pt>
                <c:pt idx="4">
                  <c:v>218.74999999999994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60-404D-AA9D-2446756D82AD}"/>
            </c:ext>
          </c:extLst>
        </c:ser>
        <c:ser>
          <c:idx val="10"/>
          <c:order val="10"/>
          <c:tx>
            <c:strRef>
              <c:f>Sheet2!$A$15</c:f>
              <c:strCache>
                <c:ptCount val="1"/>
                <c:pt idx="0">
                  <c:v>11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Sheet2!$B$15:$I$15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138.23529411764704</c:v>
                </c:pt>
                <c:pt idx="4">
                  <c:v>138.23529411764704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60-404D-AA9D-2446756D82AD}"/>
            </c:ext>
          </c:extLst>
        </c:ser>
        <c:ser>
          <c:idx val="11"/>
          <c:order val="11"/>
          <c:tx>
            <c:strRef>
              <c:f>Sheet2!$A$16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Sheet2!$B$16:$I$16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3.9999999999999898</c:v>
                </c:pt>
                <c:pt idx="3">
                  <c:v>3.9999999999999898</c:v>
                </c:pt>
                <c:pt idx="4">
                  <c:v>132</c:v>
                </c:pt>
                <c:pt idx="5">
                  <c:v>284.00000000000006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60-404D-AA9D-2446756D82AD}"/>
            </c:ext>
          </c:extLst>
        </c:ser>
        <c:ser>
          <c:idx val="12"/>
          <c:order val="12"/>
          <c:tx>
            <c:strRef>
              <c:f>Sheet2!$A$17</c:f>
              <c:strCache>
                <c:ptCount val="1"/>
                <c:pt idx="0">
                  <c:v>13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Sheet2!$B$17:$I$17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2.8571428571428399</c:v>
                </c:pt>
                <c:pt idx="3">
                  <c:v>2.8571428571428399</c:v>
                </c:pt>
                <c:pt idx="4">
                  <c:v>2.8571428571428399</c:v>
                </c:pt>
                <c:pt idx="5">
                  <c:v>2.8571428571428399</c:v>
                </c:pt>
                <c:pt idx="6">
                  <c:v>2.8571428571428399</c:v>
                </c:pt>
                <c:pt idx="7">
                  <c:v>2.8571428571428399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60-404D-AA9D-2446756D82AD}"/>
            </c:ext>
          </c:extLst>
        </c:ser>
        <c:ser>
          <c:idx val="13"/>
          <c:order val="13"/>
          <c:tx>
            <c:strRef>
              <c:f>Sheet2!$A$18</c:f>
              <c:strCache>
                <c:ptCount val="1"/>
                <c:pt idx="0">
                  <c:v>14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Sheet2!$B$18:$I$18</c:f>
              <c:numCache>
                <c:formatCode>General</c:formatCode>
                <c:ptCount val="8"/>
                <c:pt idx="0">
                  <c:v>0</c:v>
                </c:pt>
                <c:pt idx="1">
                  <c:v>4.1666666666666705</c:v>
                </c:pt>
                <c:pt idx="2">
                  <c:v>4.1666666666666705</c:v>
                </c:pt>
                <c:pt idx="3">
                  <c:v>4.1666666666666705</c:v>
                </c:pt>
                <c:pt idx="4">
                  <c:v>4.1666666666666705</c:v>
                </c:pt>
                <c:pt idx="5">
                  <c:v>4.1666666666666705</c:v>
                </c:pt>
                <c:pt idx="6">
                  <c:v>4.1666666666666705</c:v>
                </c:pt>
                <c:pt idx="7">
                  <c:v>4.1666666666666705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460-404D-AA9D-2446756D82AD}"/>
            </c:ext>
          </c:extLst>
        </c:ser>
        <c:ser>
          <c:idx val="14"/>
          <c:order val="14"/>
          <c:tx>
            <c:strRef>
              <c:f>Sheet2!$A$19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Sheet2!$B$19:$I$19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227.99999999999997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460-404D-AA9D-2446756D82AD}"/>
            </c:ext>
          </c:extLst>
        </c:ser>
        <c:ser>
          <c:idx val="15"/>
          <c:order val="15"/>
          <c:tx>
            <c:strRef>
              <c:f>Sheet2!$A$20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Sheet2!$B$20:$I$20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2.4390243902439046</c:v>
                </c:pt>
                <c:pt idx="3">
                  <c:v>114.63414634146338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460-404D-AA9D-2446756D82AD}"/>
            </c:ext>
          </c:extLst>
        </c:ser>
        <c:ser>
          <c:idx val="16"/>
          <c:order val="16"/>
          <c:tx>
            <c:strRef>
              <c:f>Sheet2!$A$21</c:f>
              <c:strCache>
                <c:ptCount val="1"/>
                <c:pt idx="0">
                  <c:v>17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Sheet2!$B$21:$I$21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123.07692307692308</c:v>
                </c:pt>
                <c:pt idx="4">
                  <c:v>226.92307692307696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460-404D-AA9D-2446756D82AD}"/>
            </c:ext>
          </c:extLst>
        </c:ser>
        <c:ser>
          <c:idx val="17"/>
          <c:order val="17"/>
          <c:tx>
            <c:strRef>
              <c:f>Sheet2!$A$22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Sheet2!$B$22:$I$22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161.53846153846158</c:v>
                </c:pt>
                <c:pt idx="4">
                  <c:v>253.84615384615387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460-404D-AA9D-2446756D82AD}"/>
            </c:ext>
          </c:extLst>
        </c:ser>
        <c:ser>
          <c:idx val="18"/>
          <c:order val="18"/>
          <c:tx>
            <c:strRef>
              <c:f>Sheet2!$A$23</c:f>
              <c:strCache>
                <c:ptCount val="1"/>
                <c:pt idx="0">
                  <c:v>19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Sheet2!$B$23:$I$23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206.45161290322579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460-404D-AA9D-2446756D82AD}"/>
            </c:ext>
          </c:extLst>
        </c:ser>
        <c:ser>
          <c:idx val="19"/>
          <c:order val="19"/>
          <c:tx>
            <c:strRef>
              <c:f>Sheet2!$A$24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Sheet2!$B$4:$I$4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</c:numCache>
            </c:numRef>
          </c:xVal>
          <c:yVal>
            <c:numRef>
              <c:f>Sheet2!$B$24:$I$24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91.666666666666657</c:v>
                </c:pt>
                <c:pt idx="3">
                  <c:v>162.5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460-404D-AA9D-2446756D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196063"/>
        <c:axId val="1065193663"/>
      </c:scatterChart>
      <c:valAx>
        <c:axId val="1065196063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since</a:t>
                </a:r>
                <a:r>
                  <a:rPr lang="en-US" b="1" baseline="0"/>
                  <a:t> incubation (hours)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93663"/>
        <c:crosses val="autoZero"/>
        <c:crossBetween val="midCat"/>
        <c:majorUnit val="48"/>
      </c:valAx>
      <c:valAx>
        <c:axId val="106519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increase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9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339725</xdr:colOff>
      <xdr:row>1</xdr:row>
      <xdr:rowOff>117475</xdr:rowOff>
    </xdr:from>
    <xdr:to>
      <xdr:col>20</xdr:col>
      <xdr:colOff>34925</xdr:colOff>
      <xdr:row>16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26E8B-593C-29A5-B6D5-B9FD4A5C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288925</xdr:colOff>
      <xdr:row>14</xdr:row>
      <xdr:rowOff>12700</xdr:rowOff>
    </xdr:from>
    <xdr:to>
      <xdr:col>16</xdr:col>
      <xdr:colOff>593725</xdr:colOff>
      <xdr:row>35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ABA33-0CF2-0951-FB1F-06D8A08CC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DF92-57BE-49A3-A316-4B802675CCF4}">
  <dimension ref="A1:J48"/>
  <sheetViews>
    <sheetView topLeftCell="A31" workbookViewId="0">
      <selection activeCell="A31" sqref="A1:XFD1048576"/>
    </sheetView>
  </sheetViews>
  <sheetFormatPr defaultRowHeight="14.5" x14ac:dyDescent="0.35"/>
  <cols>
    <col min="4" max="4" width="10.81640625" bestFit="1" customWidth="1"/>
    <col min="5" max="5" width="11.54296875" customWidth="1"/>
    <col min="10" max="10" width="10.6328125" customWidth="1"/>
  </cols>
  <sheetData>
    <row r="1" spans="1:10" x14ac:dyDescent="0.35">
      <c r="A1" t="s">
        <v>3</v>
      </c>
    </row>
    <row r="2" spans="1:10" x14ac:dyDescent="0.35">
      <c r="B2" t="s">
        <v>0</v>
      </c>
      <c r="D2">
        <v>19902126</v>
      </c>
      <c r="E2" t="s">
        <v>10</v>
      </c>
    </row>
    <row r="3" spans="1:10" x14ac:dyDescent="0.35">
      <c r="B3" s="6" t="s">
        <v>4</v>
      </c>
      <c r="C3" s="7"/>
      <c r="D3" s="7"/>
      <c r="E3" s="1" t="s">
        <v>5</v>
      </c>
      <c r="F3" t="s">
        <v>11</v>
      </c>
      <c r="G3" t="s">
        <v>12</v>
      </c>
      <c r="H3" t="s">
        <v>13</v>
      </c>
      <c r="I3" t="s">
        <v>14</v>
      </c>
    </row>
    <row r="4" spans="1:10" x14ac:dyDescent="0.35">
      <c r="A4" t="s">
        <v>1</v>
      </c>
      <c r="B4" s="2">
        <v>0.34722222222222227</v>
      </c>
      <c r="C4" s="2">
        <v>0.47222222222222227</v>
      </c>
      <c r="D4" s="2">
        <v>0.59722222222222221</v>
      </c>
      <c r="E4" s="2">
        <v>0.34722222222222227</v>
      </c>
    </row>
    <row r="5" spans="1:10" x14ac:dyDescent="0.35">
      <c r="A5">
        <v>1</v>
      </c>
      <c r="B5">
        <v>2.9000000000000001E-2</v>
      </c>
      <c r="C5">
        <v>2.9000000000000001E-2</v>
      </c>
      <c r="D5">
        <v>0.03</v>
      </c>
      <c r="E5">
        <v>0.03</v>
      </c>
      <c r="F5">
        <v>0.03</v>
      </c>
      <c r="G5">
        <v>3.1E-2</v>
      </c>
      <c r="H5">
        <v>3.1E-2</v>
      </c>
      <c r="I5">
        <v>3.1E-2</v>
      </c>
      <c r="J5" s="8" t="s">
        <v>15</v>
      </c>
    </row>
    <row r="6" spans="1:10" x14ac:dyDescent="0.35">
      <c r="A6">
        <v>2</v>
      </c>
      <c r="B6">
        <v>2.7E-2</v>
      </c>
      <c r="C6">
        <v>2.9000000000000001E-2</v>
      </c>
      <c r="D6">
        <v>4.8000000000000001E-2</v>
      </c>
      <c r="E6" s="3">
        <v>8.1000000000000003E-2</v>
      </c>
      <c r="J6" s="8"/>
    </row>
    <row r="7" spans="1:10" x14ac:dyDescent="0.35">
      <c r="A7">
        <v>3</v>
      </c>
      <c r="B7">
        <v>2.1999999999999999E-2</v>
      </c>
      <c r="C7">
        <v>2.1999999999999999E-2</v>
      </c>
      <c r="D7">
        <v>2.1999999999999999E-2</v>
      </c>
      <c r="E7">
        <v>2.1999999999999999E-2</v>
      </c>
      <c r="F7">
        <v>2.1999999999999999E-2</v>
      </c>
      <c r="G7">
        <v>2.1999999999999999E-2</v>
      </c>
      <c r="H7">
        <v>2.1999999999999999E-2</v>
      </c>
      <c r="I7">
        <v>2.1999999999999999E-2</v>
      </c>
      <c r="J7" s="8"/>
    </row>
    <row r="8" spans="1:10" x14ac:dyDescent="0.35">
      <c r="A8">
        <v>4</v>
      </c>
      <c r="B8">
        <v>3.6999999999999998E-2</v>
      </c>
      <c r="C8">
        <v>3.6999999999999998E-2</v>
      </c>
      <c r="D8">
        <v>3.6999999999999998E-2</v>
      </c>
      <c r="E8">
        <v>3.6999999999999998E-2</v>
      </c>
      <c r="F8">
        <v>6.0999999999999999E-2</v>
      </c>
      <c r="G8" s="3">
        <v>0.109</v>
      </c>
      <c r="J8" s="8"/>
    </row>
    <row r="9" spans="1:10" x14ac:dyDescent="0.35">
      <c r="A9">
        <v>5</v>
      </c>
      <c r="B9">
        <v>2.8000000000000001E-2</v>
      </c>
      <c r="C9">
        <v>2.8000000000000001E-2</v>
      </c>
      <c r="D9">
        <v>2.8000000000000001E-2</v>
      </c>
      <c r="E9">
        <v>2.8000000000000001E-2</v>
      </c>
      <c r="F9" s="3">
        <v>7.8E-2</v>
      </c>
      <c r="J9" s="8"/>
    </row>
    <row r="10" spans="1:10" x14ac:dyDescent="0.35">
      <c r="A10">
        <v>6</v>
      </c>
      <c r="B10">
        <v>2.9000000000000001E-2</v>
      </c>
      <c r="C10">
        <v>2.9000000000000001E-2</v>
      </c>
      <c r="D10">
        <v>2.9000000000000001E-2</v>
      </c>
      <c r="E10" s="3">
        <v>8.1000000000000003E-2</v>
      </c>
      <c r="J10" s="8"/>
    </row>
    <row r="11" spans="1:10" x14ac:dyDescent="0.35">
      <c r="A11">
        <v>7</v>
      </c>
      <c r="B11">
        <v>2.1999999999999999E-2</v>
      </c>
      <c r="C11">
        <v>2.1999999999999999E-2</v>
      </c>
      <c r="D11">
        <v>2.1999999999999999E-2</v>
      </c>
      <c r="E11">
        <v>2.1999999999999999E-2</v>
      </c>
      <c r="F11">
        <v>2.1999999999999999E-2</v>
      </c>
      <c r="G11">
        <v>2.1999999999999999E-2</v>
      </c>
      <c r="H11">
        <v>2.1999999999999999E-2</v>
      </c>
      <c r="I11">
        <v>2.1999999999999999E-2</v>
      </c>
      <c r="J11" s="8"/>
    </row>
    <row r="12" spans="1:10" x14ac:dyDescent="0.35">
      <c r="A12">
        <v>8</v>
      </c>
      <c r="B12">
        <v>3.1E-2</v>
      </c>
      <c r="C12">
        <v>3.1E-2</v>
      </c>
      <c r="D12">
        <v>3.1E-2</v>
      </c>
      <c r="E12">
        <v>3.1E-2</v>
      </c>
      <c r="F12">
        <v>3.1E-2</v>
      </c>
      <c r="G12">
        <v>3.1E-2</v>
      </c>
      <c r="H12">
        <v>3.1E-2</v>
      </c>
      <c r="I12">
        <v>3.1E-2</v>
      </c>
      <c r="J12" s="8"/>
    </row>
    <row r="13" spans="1:10" x14ac:dyDescent="0.35">
      <c r="A13">
        <v>9</v>
      </c>
      <c r="B13">
        <v>3.2000000000000001E-2</v>
      </c>
      <c r="C13">
        <v>3.2000000000000001E-2</v>
      </c>
      <c r="D13">
        <v>3.2000000000000001E-2</v>
      </c>
      <c r="E13">
        <v>3.2000000000000001E-2</v>
      </c>
      <c r="F13" s="3">
        <v>8.2000000000000003E-2</v>
      </c>
      <c r="J13" s="8"/>
    </row>
    <row r="14" spans="1:10" x14ac:dyDescent="0.35">
      <c r="A14">
        <v>10</v>
      </c>
      <c r="B14">
        <v>3.2000000000000001E-2</v>
      </c>
      <c r="C14">
        <v>3.2000000000000001E-2</v>
      </c>
      <c r="D14">
        <v>3.2000000000000001E-2</v>
      </c>
      <c r="E14">
        <v>7.1999999999999995E-2</v>
      </c>
      <c r="F14" s="3">
        <v>0.10199999999999999</v>
      </c>
      <c r="J14" s="8"/>
    </row>
    <row r="15" spans="1:10" x14ac:dyDescent="0.35">
      <c r="A15">
        <v>11</v>
      </c>
      <c r="B15">
        <v>3.4000000000000002E-2</v>
      </c>
      <c r="C15">
        <v>3.4000000000000002E-2</v>
      </c>
      <c r="D15">
        <v>3.4000000000000002E-2</v>
      </c>
      <c r="E15" s="3">
        <v>8.1000000000000003E-2</v>
      </c>
      <c r="J15" s="8"/>
    </row>
    <row r="16" spans="1:10" x14ac:dyDescent="0.35">
      <c r="A16">
        <v>12</v>
      </c>
      <c r="B16">
        <v>2.5000000000000001E-2</v>
      </c>
      <c r="C16">
        <v>2.5000000000000001E-2</v>
      </c>
      <c r="D16">
        <v>2.5999999999999999E-2</v>
      </c>
      <c r="E16">
        <v>2.5999999999999999E-2</v>
      </c>
      <c r="F16">
        <v>5.8000000000000003E-2</v>
      </c>
      <c r="G16" s="3">
        <v>9.6000000000000002E-2</v>
      </c>
      <c r="J16" s="8"/>
    </row>
    <row r="17" spans="1:10" x14ac:dyDescent="0.35">
      <c r="A17">
        <v>13</v>
      </c>
      <c r="B17">
        <v>3.5000000000000003E-2</v>
      </c>
      <c r="C17">
        <v>3.5000000000000003E-2</v>
      </c>
      <c r="D17">
        <v>3.5999999999999997E-2</v>
      </c>
      <c r="E17">
        <v>3.5999999999999997E-2</v>
      </c>
      <c r="F17">
        <v>3.5999999999999997E-2</v>
      </c>
      <c r="G17">
        <v>3.5999999999999997E-2</v>
      </c>
      <c r="H17">
        <v>3.5999999999999997E-2</v>
      </c>
      <c r="I17">
        <v>3.5999999999999997E-2</v>
      </c>
      <c r="J17" s="8"/>
    </row>
    <row r="18" spans="1:10" x14ac:dyDescent="0.35">
      <c r="A18">
        <v>14</v>
      </c>
      <c r="B18">
        <v>2.4E-2</v>
      </c>
      <c r="C18">
        <v>2.5000000000000001E-2</v>
      </c>
      <c r="D18">
        <v>2.5000000000000001E-2</v>
      </c>
      <c r="E18">
        <v>2.5000000000000001E-2</v>
      </c>
      <c r="F18">
        <v>2.5000000000000001E-2</v>
      </c>
      <c r="G18">
        <v>2.5000000000000001E-2</v>
      </c>
      <c r="H18">
        <v>2.5000000000000001E-2</v>
      </c>
      <c r="I18">
        <v>2.5000000000000001E-2</v>
      </c>
      <c r="J18" s="8"/>
    </row>
    <row r="19" spans="1:10" x14ac:dyDescent="0.35">
      <c r="A19">
        <v>15</v>
      </c>
      <c r="B19">
        <v>2.5000000000000001E-2</v>
      </c>
      <c r="C19">
        <v>2.5000000000000001E-2</v>
      </c>
      <c r="D19">
        <v>2.5000000000000001E-2</v>
      </c>
      <c r="E19">
        <v>8.2000000000000003E-2</v>
      </c>
      <c r="F19" s="3">
        <v>9.7000000000000003E-2</v>
      </c>
      <c r="J19" s="8"/>
    </row>
    <row r="20" spans="1:10" x14ac:dyDescent="0.35">
      <c r="A20">
        <v>16</v>
      </c>
      <c r="B20">
        <v>4.1000000000000002E-2</v>
      </c>
      <c r="C20">
        <v>4.1000000000000002E-2</v>
      </c>
      <c r="D20">
        <v>4.2000000000000003E-2</v>
      </c>
      <c r="E20" s="3">
        <v>8.7999999999999995E-2</v>
      </c>
      <c r="J20" s="8"/>
    </row>
    <row r="21" spans="1:10" x14ac:dyDescent="0.35">
      <c r="A21">
        <v>17</v>
      </c>
      <c r="B21">
        <v>2.5999999999999999E-2</v>
      </c>
      <c r="C21">
        <v>2.5999999999999999E-2</v>
      </c>
      <c r="D21">
        <v>2.5999999999999999E-2</v>
      </c>
      <c r="E21">
        <v>5.8000000000000003E-2</v>
      </c>
      <c r="F21" s="3">
        <v>8.5000000000000006E-2</v>
      </c>
      <c r="J21" s="8"/>
    </row>
    <row r="22" spans="1:10" x14ac:dyDescent="0.35">
      <c r="A22">
        <v>18</v>
      </c>
      <c r="B22">
        <v>2.5999999999999999E-2</v>
      </c>
      <c r="C22">
        <v>2.5999999999999999E-2</v>
      </c>
      <c r="D22">
        <v>2.5999999999999999E-2</v>
      </c>
      <c r="E22">
        <v>6.8000000000000005E-2</v>
      </c>
      <c r="F22" s="3">
        <v>9.1999999999999998E-2</v>
      </c>
      <c r="J22" s="8"/>
    </row>
    <row r="23" spans="1:10" x14ac:dyDescent="0.35">
      <c r="A23">
        <v>19</v>
      </c>
      <c r="B23">
        <v>3.1E-2</v>
      </c>
      <c r="C23">
        <v>3.1E-2</v>
      </c>
      <c r="D23">
        <v>3.1E-2</v>
      </c>
      <c r="E23">
        <v>3.1E-2</v>
      </c>
      <c r="F23" s="3">
        <v>9.5000000000000001E-2</v>
      </c>
      <c r="J23" s="8"/>
    </row>
    <row r="24" spans="1:10" x14ac:dyDescent="0.35">
      <c r="A24">
        <v>20</v>
      </c>
      <c r="B24">
        <v>2.4E-2</v>
      </c>
      <c r="C24">
        <v>2.4E-2</v>
      </c>
      <c r="D24">
        <v>4.5999999999999999E-2</v>
      </c>
      <c r="E24" s="3">
        <v>6.3E-2</v>
      </c>
      <c r="J24" s="8"/>
    </row>
    <row r="26" spans="1:10" x14ac:dyDescent="0.35">
      <c r="B26" t="s">
        <v>2</v>
      </c>
    </row>
    <row r="27" spans="1:10" x14ac:dyDescent="0.35">
      <c r="B27" s="6">
        <v>45171</v>
      </c>
      <c r="C27" s="7"/>
      <c r="D27" s="7"/>
      <c r="E27" s="1">
        <v>45201</v>
      </c>
    </row>
    <row r="28" spans="1:10" x14ac:dyDescent="0.35">
      <c r="A28" t="s">
        <v>1</v>
      </c>
      <c r="B28" s="2">
        <v>0.34722222222222227</v>
      </c>
      <c r="C28" s="2">
        <v>0.47222222222222227</v>
      </c>
      <c r="D28" s="2">
        <v>0.59722222222222221</v>
      </c>
      <c r="E28" s="2">
        <v>0.34722222222222227</v>
      </c>
    </row>
    <row r="29" spans="1:10" x14ac:dyDescent="0.35">
      <c r="A29">
        <v>1</v>
      </c>
      <c r="B29">
        <v>2.9000000000000001E-2</v>
      </c>
      <c r="C29">
        <v>4.8000000000000001E-2</v>
      </c>
      <c r="D29">
        <v>8.3000000000000004E-2</v>
      </c>
      <c r="E29" s="3">
        <v>0.125</v>
      </c>
    </row>
    <row r="30" spans="1:10" x14ac:dyDescent="0.35">
      <c r="A30">
        <v>2</v>
      </c>
      <c r="B30">
        <v>3.1E-2</v>
      </c>
      <c r="C30">
        <v>4.1000000000000002E-2</v>
      </c>
      <c r="D30">
        <v>6.3E-2</v>
      </c>
      <c r="E30" s="3">
        <v>8.6999999999999994E-2</v>
      </c>
    </row>
    <row r="31" spans="1:10" x14ac:dyDescent="0.35">
      <c r="A31">
        <v>3</v>
      </c>
      <c r="B31">
        <v>2.4E-2</v>
      </c>
      <c r="C31">
        <v>3.2000000000000001E-2</v>
      </c>
      <c r="D31" s="3">
        <v>5.2999999999999999E-2</v>
      </c>
    </row>
    <row r="32" spans="1:10" x14ac:dyDescent="0.35">
      <c r="A32">
        <v>4</v>
      </c>
      <c r="B32">
        <v>2.7E-2</v>
      </c>
      <c r="C32">
        <v>3.9E-2</v>
      </c>
      <c r="D32">
        <v>5.7000000000000002E-2</v>
      </c>
      <c r="E32" s="3">
        <v>0.09</v>
      </c>
    </row>
    <row r="33" spans="1:5" x14ac:dyDescent="0.35">
      <c r="A33">
        <v>5</v>
      </c>
      <c r="B33">
        <v>2.9000000000000001E-2</v>
      </c>
      <c r="C33">
        <v>4.1000000000000002E-2</v>
      </c>
      <c r="D33">
        <v>6.4000000000000001E-2</v>
      </c>
      <c r="E33" s="3">
        <v>9.4E-2</v>
      </c>
    </row>
    <row r="34" spans="1:5" x14ac:dyDescent="0.35">
      <c r="A34">
        <v>6</v>
      </c>
      <c r="B34">
        <v>3.1E-2</v>
      </c>
      <c r="C34">
        <v>3.9E-2</v>
      </c>
      <c r="D34">
        <v>6.2E-2</v>
      </c>
      <c r="E34" s="3">
        <v>7.3999999999999996E-2</v>
      </c>
    </row>
    <row r="35" spans="1:5" x14ac:dyDescent="0.35">
      <c r="A35">
        <v>7</v>
      </c>
      <c r="B35">
        <v>3.5000000000000003E-2</v>
      </c>
      <c r="C35">
        <v>4.9000000000000002E-2</v>
      </c>
      <c r="D35">
        <v>7.9000000000000001E-2</v>
      </c>
      <c r="E35" s="3">
        <v>0.123</v>
      </c>
    </row>
    <row r="36" spans="1:5" x14ac:dyDescent="0.35">
      <c r="A36">
        <v>8</v>
      </c>
      <c r="B36">
        <v>3.3000000000000002E-2</v>
      </c>
      <c r="C36">
        <v>4.7E-2</v>
      </c>
      <c r="D36">
        <v>7.2999999999999995E-2</v>
      </c>
      <c r="E36" s="3">
        <v>0.10299999999999999</v>
      </c>
    </row>
    <row r="37" spans="1:5" x14ac:dyDescent="0.35">
      <c r="A37">
        <v>9</v>
      </c>
      <c r="B37">
        <v>3.1E-2</v>
      </c>
      <c r="C37">
        <v>0.04</v>
      </c>
      <c r="D37">
        <v>6.8000000000000005E-2</v>
      </c>
      <c r="E37" s="3">
        <v>0.10100000000000001</v>
      </c>
    </row>
    <row r="38" spans="1:5" x14ac:dyDescent="0.35">
      <c r="A38">
        <v>10</v>
      </c>
      <c r="B38">
        <v>3.3000000000000002E-2</v>
      </c>
      <c r="C38">
        <v>4.4999999999999998E-2</v>
      </c>
      <c r="D38">
        <v>7.0999999999999994E-2</v>
      </c>
      <c r="E38" s="3">
        <v>0.10100000000000001</v>
      </c>
    </row>
    <row r="39" spans="1:5" x14ac:dyDescent="0.35">
      <c r="A39">
        <v>11</v>
      </c>
      <c r="B39">
        <v>4.2000000000000003E-2</v>
      </c>
      <c r="C39">
        <v>5.3999999999999999E-2</v>
      </c>
      <c r="D39" s="3">
        <v>8.8999999999999996E-2</v>
      </c>
    </row>
    <row r="40" spans="1:5" x14ac:dyDescent="0.35">
      <c r="A40">
        <v>12</v>
      </c>
      <c r="B40">
        <v>3.2000000000000001E-2</v>
      </c>
      <c r="C40">
        <v>4.2999999999999997E-2</v>
      </c>
      <c r="D40">
        <v>7.0999999999999994E-2</v>
      </c>
      <c r="E40" s="3">
        <v>9.6000000000000002E-2</v>
      </c>
    </row>
    <row r="41" spans="1:5" x14ac:dyDescent="0.35">
      <c r="A41">
        <v>13</v>
      </c>
      <c r="B41">
        <v>2.9000000000000001E-2</v>
      </c>
      <c r="C41">
        <v>0.04</v>
      </c>
      <c r="D41">
        <v>5.8999999999999997E-2</v>
      </c>
      <c r="E41" s="3">
        <v>7.5999999999999998E-2</v>
      </c>
    </row>
    <row r="42" spans="1:5" x14ac:dyDescent="0.35">
      <c r="A42">
        <v>14</v>
      </c>
      <c r="B42">
        <v>2.7E-2</v>
      </c>
      <c r="C42">
        <v>3.5999999999999997E-2</v>
      </c>
      <c r="D42">
        <v>5.8999999999999997E-2</v>
      </c>
      <c r="E42" s="3">
        <v>9.5000000000000001E-2</v>
      </c>
    </row>
    <row r="43" spans="1:5" x14ac:dyDescent="0.35">
      <c r="A43">
        <v>15</v>
      </c>
      <c r="B43">
        <v>2.5999999999999999E-2</v>
      </c>
      <c r="C43">
        <v>3.1E-2</v>
      </c>
      <c r="D43">
        <v>5.5E-2</v>
      </c>
      <c r="E43" s="3">
        <v>7.0999999999999994E-2</v>
      </c>
    </row>
    <row r="44" spans="1:5" x14ac:dyDescent="0.35">
      <c r="A44">
        <v>16</v>
      </c>
      <c r="B44">
        <v>2.4E-2</v>
      </c>
      <c r="C44">
        <v>3.7999999999999999E-2</v>
      </c>
      <c r="D44">
        <v>5.2999999999999999E-2</v>
      </c>
      <c r="E44" s="3">
        <v>7.9000000000000001E-2</v>
      </c>
    </row>
    <row r="45" spans="1:5" x14ac:dyDescent="0.35">
      <c r="A45">
        <v>17</v>
      </c>
      <c r="B45">
        <v>3.7999999999999999E-2</v>
      </c>
      <c r="C45">
        <v>0.05</v>
      </c>
      <c r="D45">
        <v>0.08</v>
      </c>
      <c r="E45" s="3">
        <v>0.104</v>
      </c>
    </row>
    <row r="46" spans="1:5" x14ac:dyDescent="0.35">
      <c r="A46">
        <v>18</v>
      </c>
      <c r="B46">
        <v>3.1E-2</v>
      </c>
      <c r="C46">
        <v>4.1000000000000002E-2</v>
      </c>
      <c r="D46">
        <v>6.6000000000000003E-2</v>
      </c>
      <c r="E46" s="3">
        <v>9.7000000000000003E-2</v>
      </c>
    </row>
    <row r="47" spans="1:5" x14ac:dyDescent="0.35">
      <c r="A47">
        <v>19</v>
      </c>
      <c r="B47">
        <v>3.2000000000000001E-2</v>
      </c>
      <c r="C47">
        <v>4.5999999999999999E-2</v>
      </c>
      <c r="D47">
        <v>6.5000000000000002E-2</v>
      </c>
      <c r="E47" s="3">
        <v>0.10199999999999999</v>
      </c>
    </row>
    <row r="48" spans="1:5" x14ac:dyDescent="0.35">
      <c r="A48">
        <v>20</v>
      </c>
      <c r="B48">
        <v>2.8000000000000001E-2</v>
      </c>
      <c r="C48">
        <v>4.5999999999999999E-2</v>
      </c>
      <c r="D48" s="3">
        <v>0.06</v>
      </c>
    </row>
  </sheetData>
  <mergeCells count="3">
    <mergeCell ref="B3:D3"/>
    <mergeCell ref="B27:D27"/>
    <mergeCell ref="J5:J2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5290-9F1D-40B8-9B9D-B91A1FEDADA8}">
  <dimension ref="A1:R48"/>
  <sheetViews>
    <sheetView workbookViewId="0">
      <selection activeCell="C5" sqref="C5:C24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  <col min="18" max="18" width="10.6328125" customWidth="1"/>
  </cols>
  <sheetData>
    <row r="1" spans="1:18" x14ac:dyDescent="0.35">
      <c r="A1" t="s">
        <v>3</v>
      </c>
    </row>
    <row r="2" spans="1:18" x14ac:dyDescent="0.35">
      <c r="B2" t="s">
        <v>0</v>
      </c>
      <c r="F2">
        <v>19902126</v>
      </c>
      <c r="H2" t="s">
        <v>10</v>
      </c>
    </row>
    <row r="3" spans="1:18" x14ac:dyDescent="0.35">
      <c r="B3" s="6" t="s">
        <v>4</v>
      </c>
      <c r="C3" s="6"/>
      <c r="D3" s="7"/>
      <c r="E3" s="7"/>
      <c r="F3" s="7"/>
      <c r="G3" s="4"/>
      <c r="H3" s="1" t="s">
        <v>5</v>
      </c>
      <c r="I3" s="1"/>
      <c r="J3" t="s">
        <v>11</v>
      </c>
      <c r="L3" t="s">
        <v>12</v>
      </c>
      <c r="N3" t="s">
        <v>13</v>
      </c>
      <c r="P3" t="s">
        <v>14</v>
      </c>
    </row>
    <row r="4" spans="1:18" x14ac:dyDescent="0.35">
      <c r="A4" t="s">
        <v>1</v>
      </c>
      <c r="B4" s="2">
        <v>0.34722222222222227</v>
      </c>
      <c r="C4" s="2">
        <v>0</v>
      </c>
      <c r="D4" s="2">
        <v>0.47222222222222227</v>
      </c>
      <c r="E4" s="5">
        <v>3</v>
      </c>
      <c r="F4" s="2">
        <v>0.59722222222222221</v>
      </c>
      <c r="G4" s="5">
        <v>6</v>
      </c>
      <c r="H4" s="2">
        <v>0.34722222222222227</v>
      </c>
      <c r="I4" s="5">
        <v>24</v>
      </c>
      <c r="K4">
        <v>96</v>
      </c>
      <c r="M4">
        <v>120</v>
      </c>
      <c r="O4">
        <v>144</v>
      </c>
      <c r="Q4">
        <v>168</v>
      </c>
    </row>
    <row r="5" spans="1:18" x14ac:dyDescent="0.35">
      <c r="A5">
        <v>1</v>
      </c>
      <c r="B5">
        <v>2.9000000000000001E-2</v>
      </c>
      <c r="C5">
        <f>(B5-B5)/B5 *100</f>
        <v>0</v>
      </c>
      <c r="D5">
        <v>2.9000000000000001E-2</v>
      </c>
      <c r="E5">
        <f>(D5-B5)/B5 *100</f>
        <v>0</v>
      </c>
      <c r="F5">
        <v>0.03</v>
      </c>
      <c r="G5">
        <f>(F5-B5)/B5 *100</f>
        <v>3.4482758620689564</v>
      </c>
      <c r="H5">
        <v>0.03</v>
      </c>
      <c r="I5">
        <f>(H5-B5)/B5 *100</f>
        <v>3.4482758620689564</v>
      </c>
      <c r="J5">
        <v>0.03</v>
      </c>
      <c r="K5">
        <f>(J5-B5)/B5 *100</f>
        <v>3.4482758620689564</v>
      </c>
      <c r="L5">
        <v>3.1E-2</v>
      </c>
      <c r="M5">
        <f>(L5-B5)/B5 *100</f>
        <v>6.8965517241379253</v>
      </c>
      <c r="N5">
        <v>3.1E-2</v>
      </c>
      <c r="O5">
        <f>(N5-B5)/B5 *100</f>
        <v>6.8965517241379253</v>
      </c>
      <c r="P5">
        <v>3.1E-2</v>
      </c>
      <c r="Q5">
        <f>(P5-B5)/B5 *100</f>
        <v>6.8965517241379253</v>
      </c>
      <c r="R5" s="8" t="s">
        <v>15</v>
      </c>
    </row>
    <row r="6" spans="1:18" x14ac:dyDescent="0.35">
      <c r="A6">
        <v>2</v>
      </c>
      <c r="B6">
        <v>2.7E-2</v>
      </c>
      <c r="C6">
        <f t="shared" ref="C6:C24" si="0">(B6-B6)/B6 *100</f>
        <v>0</v>
      </c>
      <c r="D6">
        <v>2.9000000000000001E-2</v>
      </c>
      <c r="E6">
        <f t="shared" ref="E6:E24" si="1">(D6-B6)/B6 *100</f>
        <v>7.4074074074074137</v>
      </c>
      <c r="F6">
        <v>4.8000000000000001E-2</v>
      </c>
      <c r="G6">
        <f t="shared" ref="G6:G24" si="2">(F6-B6)/B6 *100</f>
        <v>77.777777777777786</v>
      </c>
      <c r="H6" s="3">
        <v>8.1000000000000003E-2</v>
      </c>
      <c r="I6">
        <f t="shared" ref="I6:I24" si="3">(H6-B6)/B6 *100</f>
        <v>200.00000000000006</v>
      </c>
      <c r="J6" s="3">
        <v>8.1000000000000003E-2</v>
      </c>
      <c r="K6">
        <f t="shared" ref="K6:K24" si="4">(J6-B6)/B6 *100</f>
        <v>200.00000000000006</v>
      </c>
      <c r="L6" s="3">
        <v>8.1000000000000003E-2</v>
      </c>
      <c r="M6">
        <f t="shared" ref="M6:M24" si="5">(L6-B6)/B6 *100</f>
        <v>200.00000000000006</v>
      </c>
      <c r="N6" s="3">
        <v>8.1000000000000003E-2</v>
      </c>
      <c r="O6">
        <f t="shared" ref="O6:O24" si="6">(N6-B6)/B6 *100</f>
        <v>200.00000000000006</v>
      </c>
      <c r="P6" s="3">
        <v>8.1000000000000003E-2</v>
      </c>
      <c r="Q6">
        <f t="shared" ref="Q6:Q24" si="7">(P6-B6)/B6 *100</f>
        <v>200.00000000000006</v>
      </c>
      <c r="R6" s="8"/>
    </row>
    <row r="7" spans="1:18" x14ac:dyDescent="0.35">
      <c r="A7">
        <v>3</v>
      </c>
      <c r="B7">
        <v>2.1999999999999999E-2</v>
      </c>
      <c r="C7">
        <f t="shared" si="0"/>
        <v>0</v>
      </c>
      <c r="D7">
        <v>2.1999999999999999E-2</v>
      </c>
      <c r="E7">
        <f t="shared" si="1"/>
        <v>0</v>
      </c>
      <c r="F7">
        <v>2.1999999999999999E-2</v>
      </c>
      <c r="G7">
        <f t="shared" si="2"/>
        <v>0</v>
      </c>
      <c r="H7">
        <v>2.1999999999999999E-2</v>
      </c>
      <c r="I7">
        <f t="shared" si="3"/>
        <v>0</v>
      </c>
      <c r="J7">
        <v>2.9000000000000001E-2</v>
      </c>
      <c r="K7">
        <f t="shared" si="4"/>
        <v>31.818181818181834</v>
      </c>
      <c r="L7">
        <v>3.5000000000000003E-2</v>
      </c>
      <c r="M7">
        <f t="shared" si="5"/>
        <v>59.090909090909115</v>
      </c>
      <c r="N7">
        <v>4.9000000000000002E-2</v>
      </c>
      <c r="O7">
        <f t="shared" si="6"/>
        <v>122.72727272727275</v>
      </c>
      <c r="P7" s="3">
        <v>6.0999999999999999E-2</v>
      </c>
      <c r="Q7">
        <f t="shared" si="7"/>
        <v>177.27272727272728</v>
      </c>
      <c r="R7" s="8"/>
    </row>
    <row r="8" spans="1:18" x14ac:dyDescent="0.35">
      <c r="A8">
        <v>4</v>
      </c>
      <c r="B8">
        <v>3.6999999999999998E-2</v>
      </c>
      <c r="C8">
        <f t="shared" si="0"/>
        <v>0</v>
      </c>
      <c r="D8">
        <v>3.6999999999999998E-2</v>
      </c>
      <c r="E8">
        <f t="shared" si="1"/>
        <v>0</v>
      </c>
      <c r="F8">
        <v>3.6999999999999998E-2</v>
      </c>
      <c r="G8">
        <f t="shared" si="2"/>
        <v>0</v>
      </c>
      <c r="H8">
        <v>3.6999999999999998E-2</v>
      </c>
      <c r="I8">
        <f t="shared" si="3"/>
        <v>0</v>
      </c>
      <c r="J8">
        <v>6.0999999999999999E-2</v>
      </c>
      <c r="K8">
        <f t="shared" si="4"/>
        <v>64.86486486486487</v>
      </c>
      <c r="L8" s="3">
        <v>0.109</v>
      </c>
      <c r="M8">
        <f t="shared" si="5"/>
        <v>194.59459459459464</v>
      </c>
      <c r="N8" s="3">
        <v>0.109</v>
      </c>
      <c r="O8">
        <f t="shared" si="6"/>
        <v>194.59459459459464</v>
      </c>
      <c r="P8" s="3">
        <v>0.109</v>
      </c>
      <c r="Q8">
        <f t="shared" si="7"/>
        <v>194.59459459459464</v>
      </c>
      <c r="R8" s="8"/>
    </row>
    <row r="9" spans="1:18" x14ac:dyDescent="0.35">
      <c r="A9">
        <v>5</v>
      </c>
      <c r="B9">
        <v>2.8000000000000001E-2</v>
      </c>
      <c r="C9">
        <f t="shared" si="0"/>
        <v>0</v>
      </c>
      <c r="D9">
        <v>2.8000000000000001E-2</v>
      </c>
      <c r="E9">
        <f t="shared" si="1"/>
        <v>0</v>
      </c>
      <c r="F9">
        <v>2.8000000000000001E-2</v>
      </c>
      <c r="G9">
        <f t="shared" si="2"/>
        <v>0</v>
      </c>
      <c r="H9">
        <v>2.8000000000000001E-2</v>
      </c>
      <c r="I9">
        <f t="shared" si="3"/>
        <v>0</v>
      </c>
      <c r="J9" s="3">
        <v>7.8E-2</v>
      </c>
      <c r="K9">
        <f t="shared" si="4"/>
        <v>178.57142857142858</v>
      </c>
      <c r="L9" s="3">
        <v>7.8E-2</v>
      </c>
      <c r="M9">
        <f t="shared" si="5"/>
        <v>178.57142857142858</v>
      </c>
      <c r="N9" s="3">
        <v>7.8E-2</v>
      </c>
      <c r="O9">
        <f t="shared" si="6"/>
        <v>178.57142857142858</v>
      </c>
      <c r="P9" s="3">
        <v>7.8E-2</v>
      </c>
      <c r="Q9">
        <f t="shared" si="7"/>
        <v>178.57142857142858</v>
      </c>
      <c r="R9" s="8"/>
    </row>
    <row r="10" spans="1:18" x14ac:dyDescent="0.35">
      <c r="A10">
        <v>6</v>
      </c>
      <c r="B10">
        <v>2.9000000000000001E-2</v>
      </c>
      <c r="C10">
        <f t="shared" si="0"/>
        <v>0</v>
      </c>
      <c r="D10">
        <v>2.9000000000000001E-2</v>
      </c>
      <c r="E10">
        <f t="shared" si="1"/>
        <v>0</v>
      </c>
      <c r="F10">
        <v>2.9000000000000001E-2</v>
      </c>
      <c r="G10">
        <f t="shared" si="2"/>
        <v>0</v>
      </c>
      <c r="H10" s="3">
        <v>8.1000000000000003E-2</v>
      </c>
      <c r="I10">
        <f t="shared" si="3"/>
        <v>179.31034482758622</v>
      </c>
      <c r="J10" s="3">
        <v>8.1000000000000003E-2</v>
      </c>
      <c r="K10">
        <f t="shared" si="4"/>
        <v>179.31034482758622</v>
      </c>
      <c r="L10" s="3">
        <v>8.1000000000000003E-2</v>
      </c>
      <c r="M10">
        <f t="shared" si="5"/>
        <v>179.31034482758622</v>
      </c>
      <c r="N10" s="3">
        <v>8.1000000000000003E-2</v>
      </c>
      <c r="O10">
        <f t="shared" si="6"/>
        <v>179.31034482758622</v>
      </c>
      <c r="P10" s="3">
        <v>8.1000000000000003E-2</v>
      </c>
      <c r="Q10">
        <f t="shared" si="7"/>
        <v>179.31034482758622</v>
      </c>
      <c r="R10" s="8"/>
    </row>
    <row r="11" spans="1:18" x14ac:dyDescent="0.35">
      <c r="A11">
        <v>7</v>
      </c>
      <c r="B11">
        <v>2.1999999999999999E-2</v>
      </c>
      <c r="C11">
        <f t="shared" si="0"/>
        <v>0</v>
      </c>
      <c r="D11">
        <v>2.1999999999999999E-2</v>
      </c>
      <c r="E11">
        <f t="shared" si="1"/>
        <v>0</v>
      </c>
      <c r="F11">
        <v>2.1999999999999999E-2</v>
      </c>
      <c r="G11">
        <f t="shared" si="2"/>
        <v>0</v>
      </c>
      <c r="H11">
        <v>2.1999999999999999E-2</v>
      </c>
      <c r="I11">
        <f t="shared" si="3"/>
        <v>0</v>
      </c>
      <c r="J11">
        <v>5.8000000000000003E-2</v>
      </c>
      <c r="K11">
        <f t="shared" si="4"/>
        <v>163.63636363636368</v>
      </c>
      <c r="L11" s="3">
        <v>7.8E-2</v>
      </c>
      <c r="M11">
        <f t="shared" si="5"/>
        <v>254.54545454545459</v>
      </c>
      <c r="N11" s="3">
        <v>7.8E-2</v>
      </c>
      <c r="O11">
        <f t="shared" si="6"/>
        <v>254.54545454545459</v>
      </c>
      <c r="P11" s="3">
        <v>7.8E-2</v>
      </c>
      <c r="Q11">
        <f t="shared" si="7"/>
        <v>254.54545454545459</v>
      </c>
      <c r="R11" s="8"/>
    </row>
    <row r="12" spans="1:18" x14ac:dyDescent="0.35">
      <c r="A12">
        <v>8</v>
      </c>
      <c r="B12">
        <v>3.1E-2</v>
      </c>
      <c r="C12">
        <f t="shared" si="0"/>
        <v>0</v>
      </c>
      <c r="D12">
        <v>3.1E-2</v>
      </c>
      <c r="E12">
        <f t="shared" si="1"/>
        <v>0</v>
      </c>
      <c r="F12">
        <v>3.1E-2</v>
      </c>
      <c r="G12">
        <f t="shared" si="2"/>
        <v>0</v>
      </c>
      <c r="H12">
        <v>3.1E-2</v>
      </c>
      <c r="I12">
        <f t="shared" si="3"/>
        <v>0</v>
      </c>
      <c r="J12">
        <v>3.1E-2</v>
      </c>
      <c r="K12">
        <f t="shared" si="4"/>
        <v>0</v>
      </c>
      <c r="L12">
        <v>3.1E-2</v>
      </c>
      <c r="M12">
        <f t="shared" si="5"/>
        <v>0</v>
      </c>
      <c r="N12">
        <v>3.1E-2</v>
      </c>
      <c r="O12">
        <f t="shared" si="6"/>
        <v>0</v>
      </c>
      <c r="P12">
        <v>3.1E-2</v>
      </c>
      <c r="Q12">
        <f t="shared" si="7"/>
        <v>0</v>
      </c>
      <c r="R12" s="8"/>
    </row>
    <row r="13" spans="1:18" x14ac:dyDescent="0.35">
      <c r="A13">
        <v>9</v>
      </c>
      <c r="B13">
        <v>3.2000000000000001E-2</v>
      </c>
      <c r="C13">
        <f t="shared" si="0"/>
        <v>0</v>
      </c>
      <c r="D13">
        <v>3.2000000000000001E-2</v>
      </c>
      <c r="E13">
        <f t="shared" si="1"/>
        <v>0</v>
      </c>
      <c r="F13">
        <v>3.2000000000000001E-2</v>
      </c>
      <c r="G13">
        <f t="shared" si="2"/>
        <v>0</v>
      </c>
      <c r="H13">
        <v>3.2000000000000001E-2</v>
      </c>
      <c r="I13">
        <f t="shared" si="3"/>
        <v>0</v>
      </c>
      <c r="J13" s="3">
        <v>8.2000000000000003E-2</v>
      </c>
      <c r="K13">
        <f t="shared" si="4"/>
        <v>156.25</v>
      </c>
      <c r="L13" s="3">
        <v>8.2000000000000003E-2</v>
      </c>
      <c r="M13">
        <f t="shared" si="5"/>
        <v>156.25</v>
      </c>
      <c r="N13" s="3">
        <v>8.2000000000000003E-2</v>
      </c>
      <c r="O13">
        <f t="shared" si="6"/>
        <v>156.25</v>
      </c>
      <c r="P13" s="3">
        <v>8.2000000000000003E-2</v>
      </c>
      <c r="Q13">
        <f t="shared" si="7"/>
        <v>156.25</v>
      </c>
      <c r="R13" s="8"/>
    </row>
    <row r="14" spans="1:18" x14ac:dyDescent="0.35">
      <c r="A14">
        <v>10</v>
      </c>
      <c r="B14">
        <v>3.2000000000000001E-2</v>
      </c>
      <c r="C14">
        <f t="shared" si="0"/>
        <v>0</v>
      </c>
      <c r="D14">
        <v>3.2000000000000001E-2</v>
      </c>
      <c r="E14">
        <f t="shared" si="1"/>
        <v>0</v>
      </c>
      <c r="F14">
        <v>3.2000000000000001E-2</v>
      </c>
      <c r="G14">
        <f t="shared" si="2"/>
        <v>0</v>
      </c>
      <c r="H14">
        <v>7.1999999999999995E-2</v>
      </c>
      <c r="I14">
        <f t="shared" si="3"/>
        <v>124.99999999999997</v>
      </c>
      <c r="J14" s="3">
        <v>0.10199999999999999</v>
      </c>
      <c r="K14">
        <f t="shared" si="4"/>
        <v>218.74999999999994</v>
      </c>
      <c r="L14" s="3">
        <v>0.10199999999999999</v>
      </c>
      <c r="M14">
        <f t="shared" si="5"/>
        <v>218.74999999999994</v>
      </c>
      <c r="N14" s="3">
        <v>0.10199999999999999</v>
      </c>
      <c r="O14">
        <f t="shared" si="6"/>
        <v>218.74999999999994</v>
      </c>
      <c r="P14" s="3">
        <v>0.10199999999999999</v>
      </c>
      <c r="Q14">
        <f t="shared" si="7"/>
        <v>218.74999999999994</v>
      </c>
      <c r="R14" s="8"/>
    </row>
    <row r="15" spans="1:18" x14ac:dyDescent="0.35">
      <c r="A15">
        <v>11</v>
      </c>
      <c r="B15">
        <v>3.4000000000000002E-2</v>
      </c>
      <c r="C15">
        <f t="shared" si="0"/>
        <v>0</v>
      </c>
      <c r="D15">
        <v>3.4000000000000002E-2</v>
      </c>
      <c r="E15">
        <f t="shared" si="1"/>
        <v>0</v>
      </c>
      <c r="F15">
        <v>3.4000000000000002E-2</v>
      </c>
      <c r="G15">
        <f t="shared" si="2"/>
        <v>0</v>
      </c>
      <c r="H15" s="3">
        <v>8.1000000000000003E-2</v>
      </c>
      <c r="I15">
        <f t="shared" si="3"/>
        <v>138.23529411764704</v>
      </c>
      <c r="J15" s="3">
        <v>8.1000000000000003E-2</v>
      </c>
      <c r="K15">
        <f t="shared" si="4"/>
        <v>138.23529411764704</v>
      </c>
      <c r="L15" s="3">
        <v>8.1000000000000003E-2</v>
      </c>
      <c r="M15">
        <f t="shared" si="5"/>
        <v>138.23529411764704</v>
      </c>
      <c r="N15" s="3">
        <v>8.1000000000000003E-2</v>
      </c>
      <c r="O15">
        <f t="shared" si="6"/>
        <v>138.23529411764704</v>
      </c>
      <c r="P15" s="3">
        <v>8.1000000000000003E-2</v>
      </c>
      <c r="Q15">
        <f t="shared" si="7"/>
        <v>138.23529411764704</v>
      </c>
      <c r="R15" s="8"/>
    </row>
    <row r="16" spans="1:18" x14ac:dyDescent="0.35">
      <c r="A16">
        <v>12</v>
      </c>
      <c r="B16">
        <v>2.5000000000000001E-2</v>
      </c>
      <c r="C16">
        <f t="shared" si="0"/>
        <v>0</v>
      </c>
      <c r="D16">
        <v>2.5000000000000001E-2</v>
      </c>
      <c r="E16">
        <f t="shared" si="1"/>
        <v>0</v>
      </c>
      <c r="F16">
        <v>2.5999999999999999E-2</v>
      </c>
      <c r="G16">
        <f t="shared" si="2"/>
        <v>3.9999999999999898</v>
      </c>
      <c r="H16">
        <v>2.5999999999999999E-2</v>
      </c>
      <c r="I16">
        <f t="shared" si="3"/>
        <v>3.9999999999999898</v>
      </c>
      <c r="J16">
        <v>5.8000000000000003E-2</v>
      </c>
      <c r="K16">
        <f t="shared" si="4"/>
        <v>132</v>
      </c>
      <c r="L16" s="3">
        <v>9.6000000000000002E-2</v>
      </c>
      <c r="M16">
        <f t="shared" si="5"/>
        <v>284.00000000000006</v>
      </c>
      <c r="N16" s="3">
        <v>9.6000000000000002E-2</v>
      </c>
      <c r="O16">
        <f t="shared" si="6"/>
        <v>284.00000000000006</v>
      </c>
      <c r="P16" s="3">
        <v>9.6000000000000002E-2</v>
      </c>
      <c r="Q16">
        <f t="shared" si="7"/>
        <v>284.00000000000006</v>
      </c>
      <c r="R16" s="8"/>
    </row>
    <row r="17" spans="1:18" x14ac:dyDescent="0.35">
      <c r="A17">
        <v>13</v>
      </c>
      <c r="B17">
        <v>3.5000000000000003E-2</v>
      </c>
      <c r="C17">
        <f t="shared" si="0"/>
        <v>0</v>
      </c>
      <c r="D17">
        <v>3.5000000000000003E-2</v>
      </c>
      <c r="E17">
        <f t="shared" si="1"/>
        <v>0</v>
      </c>
      <c r="F17">
        <v>3.5999999999999997E-2</v>
      </c>
      <c r="G17">
        <f t="shared" si="2"/>
        <v>2.8571428571428399</v>
      </c>
      <c r="H17">
        <v>3.5999999999999997E-2</v>
      </c>
      <c r="I17">
        <f t="shared" si="3"/>
        <v>2.8571428571428399</v>
      </c>
      <c r="J17">
        <v>3.5999999999999997E-2</v>
      </c>
      <c r="K17">
        <f t="shared" si="4"/>
        <v>2.8571428571428399</v>
      </c>
      <c r="L17">
        <v>3.5999999999999997E-2</v>
      </c>
      <c r="M17">
        <f t="shared" si="5"/>
        <v>2.8571428571428399</v>
      </c>
      <c r="N17">
        <v>3.5999999999999997E-2</v>
      </c>
      <c r="O17">
        <f t="shared" si="6"/>
        <v>2.8571428571428399</v>
      </c>
      <c r="P17">
        <v>3.5999999999999997E-2</v>
      </c>
      <c r="Q17">
        <f t="shared" si="7"/>
        <v>2.8571428571428399</v>
      </c>
      <c r="R17" s="8"/>
    </row>
    <row r="18" spans="1:18" x14ac:dyDescent="0.35">
      <c r="A18">
        <v>14</v>
      </c>
      <c r="B18">
        <v>2.4E-2</v>
      </c>
      <c r="C18">
        <f t="shared" si="0"/>
        <v>0</v>
      </c>
      <c r="D18">
        <v>2.5000000000000001E-2</v>
      </c>
      <c r="E18">
        <f t="shared" si="1"/>
        <v>4.1666666666666705</v>
      </c>
      <c r="F18">
        <v>2.5000000000000001E-2</v>
      </c>
      <c r="G18">
        <f t="shared" si="2"/>
        <v>4.1666666666666705</v>
      </c>
      <c r="H18">
        <v>2.5000000000000001E-2</v>
      </c>
      <c r="I18">
        <f t="shared" si="3"/>
        <v>4.1666666666666705</v>
      </c>
      <c r="J18">
        <v>2.5000000000000001E-2</v>
      </c>
      <c r="K18">
        <f t="shared" si="4"/>
        <v>4.1666666666666705</v>
      </c>
      <c r="L18">
        <v>2.5000000000000001E-2</v>
      </c>
      <c r="M18">
        <f t="shared" si="5"/>
        <v>4.1666666666666705</v>
      </c>
      <c r="N18">
        <v>2.5000000000000001E-2</v>
      </c>
      <c r="O18">
        <f t="shared" si="6"/>
        <v>4.1666666666666705</v>
      </c>
      <c r="P18">
        <v>2.5000000000000001E-2</v>
      </c>
      <c r="Q18">
        <f t="shared" si="7"/>
        <v>4.1666666666666705</v>
      </c>
      <c r="R18" s="8"/>
    </row>
    <row r="19" spans="1:18" x14ac:dyDescent="0.35">
      <c r="A19">
        <v>15</v>
      </c>
      <c r="B19">
        <v>2.5000000000000001E-2</v>
      </c>
      <c r="C19">
        <f t="shared" si="0"/>
        <v>0</v>
      </c>
      <c r="D19">
        <v>2.5000000000000001E-2</v>
      </c>
      <c r="E19">
        <f t="shared" si="1"/>
        <v>0</v>
      </c>
      <c r="F19">
        <v>2.5000000000000001E-2</v>
      </c>
      <c r="G19">
        <f t="shared" si="2"/>
        <v>0</v>
      </c>
      <c r="H19">
        <v>8.2000000000000003E-2</v>
      </c>
      <c r="I19">
        <f t="shared" si="3"/>
        <v>227.99999999999997</v>
      </c>
      <c r="J19" s="3">
        <v>9.7000000000000003E-2</v>
      </c>
      <c r="K19">
        <f t="shared" si="4"/>
        <v>288.00000000000006</v>
      </c>
      <c r="L19" s="3">
        <v>9.7000000000000003E-2</v>
      </c>
      <c r="M19">
        <f t="shared" si="5"/>
        <v>288.00000000000006</v>
      </c>
      <c r="N19" s="3">
        <v>9.7000000000000003E-2</v>
      </c>
      <c r="O19">
        <f t="shared" si="6"/>
        <v>288.00000000000006</v>
      </c>
      <c r="P19" s="3">
        <v>9.7000000000000003E-2</v>
      </c>
      <c r="Q19">
        <f t="shared" si="7"/>
        <v>288.00000000000006</v>
      </c>
      <c r="R19" s="8"/>
    </row>
    <row r="20" spans="1:18" x14ac:dyDescent="0.35">
      <c r="A20">
        <v>16</v>
      </c>
      <c r="B20">
        <v>4.1000000000000002E-2</v>
      </c>
      <c r="C20">
        <f t="shared" si="0"/>
        <v>0</v>
      </c>
      <c r="D20">
        <v>4.1000000000000002E-2</v>
      </c>
      <c r="E20">
        <f t="shared" si="1"/>
        <v>0</v>
      </c>
      <c r="F20">
        <v>4.2000000000000003E-2</v>
      </c>
      <c r="G20">
        <f t="shared" si="2"/>
        <v>2.4390243902439046</v>
      </c>
      <c r="H20" s="3">
        <v>8.7999999999999995E-2</v>
      </c>
      <c r="I20">
        <f t="shared" si="3"/>
        <v>114.63414634146338</v>
      </c>
      <c r="J20" s="3">
        <v>8.7999999999999995E-2</v>
      </c>
      <c r="K20">
        <f t="shared" si="4"/>
        <v>114.63414634146338</v>
      </c>
      <c r="L20" s="3">
        <v>8.7999999999999995E-2</v>
      </c>
      <c r="M20">
        <f t="shared" si="5"/>
        <v>114.63414634146338</v>
      </c>
      <c r="N20" s="3">
        <v>8.7999999999999995E-2</v>
      </c>
      <c r="O20">
        <f t="shared" si="6"/>
        <v>114.63414634146338</v>
      </c>
      <c r="P20" s="3">
        <v>8.7999999999999995E-2</v>
      </c>
      <c r="Q20">
        <f t="shared" si="7"/>
        <v>114.63414634146338</v>
      </c>
      <c r="R20" s="8"/>
    </row>
    <row r="21" spans="1:18" x14ac:dyDescent="0.35">
      <c r="A21">
        <v>17</v>
      </c>
      <c r="B21">
        <v>2.5999999999999999E-2</v>
      </c>
      <c r="C21">
        <f t="shared" si="0"/>
        <v>0</v>
      </c>
      <c r="D21">
        <v>2.5999999999999999E-2</v>
      </c>
      <c r="E21">
        <f t="shared" si="1"/>
        <v>0</v>
      </c>
      <c r="F21">
        <v>2.5999999999999999E-2</v>
      </c>
      <c r="G21">
        <f t="shared" si="2"/>
        <v>0</v>
      </c>
      <c r="H21">
        <v>5.8000000000000003E-2</v>
      </c>
      <c r="I21">
        <f t="shared" si="3"/>
        <v>123.07692307692308</v>
      </c>
      <c r="J21" s="3">
        <v>8.5000000000000006E-2</v>
      </c>
      <c r="K21">
        <f t="shared" si="4"/>
        <v>226.92307692307696</v>
      </c>
      <c r="L21" s="3">
        <v>8.5000000000000006E-2</v>
      </c>
      <c r="M21">
        <f t="shared" si="5"/>
        <v>226.92307692307696</v>
      </c>
      <c r="N21" s="3">
        <v>8.5000000000000006E-2</v>
      </c>
      <c r="O21">
        <f t="shared" si="6"/>
        <v>226.92307692307696</v>
      </c>
      <c r="P21" s="3">
        <v>8.5000000000000006E-2</v>
      </c>
      <c r="Q21">
        <f t="shared" si="7"/>
        <v>226.92307692307696</v>
      </c>
      <c r="R21" s="8"/>
    </row>
    <row r="22" spans="1:18" x14ac:dyDescent="0.35">
      <c r="A22">
        <v>18</v>
      </c>
      <c r="B22">
        <v>2.5999999999999999E-2</v>
      </c>
      <c r="C22">
        <f t="shared" si="0"/>
        <v>0</v>
      </c>
      <c r="D22">
        <v>2.5999999999999999E-2</v>
      </c>
      <c r="E22">
        <f t="shared" si="1"/>
        <v>0</v>
      </c>
      <c r="F22">
        <v>2.5999999999999999E-2</v>
      </c>
      <c r="G22">
        <f t="shared" si="2"/>
        <v>0</v>
      </c>
      <c r="H22">
        <v>6.8000000000000005E-2</v>
      </c>
      <c r="I22">
        <f t="shared" si="3"/>
        <v>161.53846153846158</v>
      </c>
      <c r="J22" s="3">
        <v>9.1999999999999998E-2</v>
      </c>
      <c r="K22">
        <f t="shared" si="4"/>
        <v>253.84615384615387</v>
      </c>
      <c r="L22" s="3">
        <v>9.1999999999999998E-2</v>
      </c>
      <c r="M22">
        <f t="shared" si="5"/>
        <v>253.84615384615387</v>
      </c>
      <c r="N22" s="3">
        <v>9.1999999999999998E-2</v>
      </c>
      <c r="O22">
        <f t="shared" si="6"/>
        <v>253.84615384615387</v>
      </c>
      <c r="P22" s="3">
        <v>9.1999999999999998E-2</v>
      </c>
      <c r="Q22">
        <f t="shared" si="7"/>
        <v>253.84615384615387</v>
      </c>
      <c r="R22" s="8"/>
    </row>
    <row r="23" spans="1:18" x14ac:dyDescent="0.35">
      <c r="A23">
        <v>19</v>
      </c>
      <c r="B23">
        <v>3.1E-2</v>
      </c>
      <c r="C23">
        <f t="shared" si="0"/>
        <v>0</v>
      </c>
      <c r="D23">
        <v>3.1E-2</v>
      </c>
      <c r="E23">
        <f t="shared" si="1"/>
        <v>0</v>
      </c>
      <c r="F23">
        <v>3.1E-2</v>
      </c>
      <c r="G23">
        <f t="shared" si="2"/>
        <v>0</v>
      </c>
      <c r="H23">
        <v>3.1E-2</v>
      </c>
      <c r="I23">
        <f t="shared" si="3"/>
        <v>0</v>
      </c>
      <c r="J23" s="3">
        <v>9.5000000000000001E-2</v>
      </c>
      <c r="K23">
        <f t="shared" si="4"/>
        <v>206.45161290322579</v>
      </c>
      <c r="L23" s="3">
        <v>9.5000000000000001E-2</v>
      </c>
      <c r="M23">
        <f t="shared" si="5"/>
        <v>206.45161290322579</v>
      </c>
      <c r="N23" s="3">
        <v>9.5000000000000001E-2</v>
      </c>
      <c r="O23">
        <f t="shared" si="6"/>
        <v>206.45161290322579</v>
      </c>
      <c r="P23" s="3">
        <v>9.5000000000000001E-2</v>
      </c>
      <c r="Q23">
        <f t="shared" si="7"/>
        <v>206.45161290322579</v>
      </c>
      <c r="R23" s="8"/>
    </row>
    <row r="24" spans="1:18" x14ac:dyDescent="0.35">
      <c r="A24">
        <v>20</v>
      </c>
      <c r="B24">
        <v>2.4E-2</v>
      </c>
      <c r="C24">
        <f t="shared" si="0"/>
        <v>0</v>
      </c>
      <c r="D24">
        <v>2.4E-2</v>
      </c>
      <c r="E24">
        <f t="shared" si="1"/>
        <v>0</v>
      </c>
      <c r="F24">
        <v>4.5999999999999999E-2</v>
      </c>
      <c r="G24">
        <f t="shared" si="2"/>
        <v>91.666666666666657</v>
      </c>
      <c r="H24" s="3">
        <v>6.3E-2</v>
      </c>
      <c r="I24">
        <f t="shared" si="3"/>
        <v>162.5</v>
      </c>
      <c r="J24" s="3">
        <v>6.3E-2</v>
      </c>
      <c r="K24">
        <f t="shared" si="4"/>
        <v>162.5</v>
      </c>
      <c r="L24" s="3">
        <v>6.3E-2</v>
      </c>
      <c r="M24">
        <f t="shared" si="5"/>
        <v>162.5</v>
      </c>
      <c r="N24" s="3">
        <v>6.3E-2</v>
      </c>
      <c r="O24">
        <f t="shared" si="6"/>
        <v>162.5</v>
      </c>
      <c r="P24" s="3">
        <v>6.3E-2</v>
      </c>
      <c r="Q24">
        <f t="shared" si="7"/>
        <v>162.5</v>
      </c>
      <c r="R24" s="8"/>
    </row>
    <row r="26" spans="1:18" x14ac:dyDescent="0.35">
      <c r="B26" t="s">
        <v>2</v>
      </c>
    </row>
    <row r="27" spans="1:18" x14ac:dyDescent="0.35">
      <c r="B27" s="6">
        <v>45171</v>
      </c>
      <c r="C27" s="6"/>
      <c r="D27" s="7"/>
      <c r="E27" s="7"/>
      <c r="F27" s="7"/>
      <c r="G27" s="4"/>
      <c r="H27" s="1">
        <v>45201</v>
      </c>
      <c r="I27" s="1"/>
    </row>
    <row r="28" spans="1:18" x14ac:dyDescent="0.35">
      <c r="A28" t="s">
        <v>1</v>
      </c>
      <c r="B28" s="2">
        <v>0.34722222222222227</v>
      </c>
      <c r="C28" s="2">
        <v>0</v>
      </c>
      <c r="D28" s="2">
        <v>0.47222222222222227</v>
      </c>
      <c r="E28" s="5">
        <v>3</v>
      </c>
      <c r="F28" s="2">
        <v>0.59722222222222221</v>
      </c>
      <c r="G28" s="5">
        <v>6</v>
      </c>
      <c r="H28" s="2">
        <v>0.34722222222222227</v>
      </c>
      <c r="I28" s="5">
        <v>24</v>
      </c>
    </row>
    <row r="29" spans="1:18" x14ac:dyDescent="0.35">
      <c r="A29">
        <v>1</v>
      </c>
      <c r="B29">
        <v>2.9000000000000001E-2</v>
      </c>
      <c r="C29">
        <f>(B29-B29)/B29 *100</f>
        <v>0</v>
      </c>
      <c r="D29">
        <v>4.8000000000000001E-2</v>
      </c>
      <c r="E29">
        <f>(D29-B29)/B29 *100</f>
        <v>65.517241379310349</v>
      </c>
      <c r="F29">
        <v>8.3000000000000004E-2</v>
      </c>
      <c r="G29">
        <f>(F29-B29)/B29 *100</f>
        <v>186.20689655172416</v>
      </c>
      <c r="H29" s="3">
        <v>0.125</v>
      </c>
      <c r="I29">
        <f>(H29-B29)/B29 *100</f>
        <v>331.0344827586207</v>
      </c>
    </row>
    <row r="30" spans="1:18" x14ac:dyDescent="0.35">
      <c r="A30">
        <v>2</v>
      </c>
      <c r="B30">
        <v>3.1E-2</v>
      </c>
      <c r="C30">
        <f t="shared" ref="C30" si="8">(B30-B30)/B30 *100</f>
        <v>0</v>
      </c>
      <c r="D30">
        <v>4.1000000000000002E-2</v>
      </c>
      <c r="E30">
        <f t="shared" ref="E30:E48" si="9">(D30-B30)/B30 *100</f>
        <v>32.258064516129039</v>
      </c>
      <c r="F30">
        <v>6.3E-2</v>
      </c>
      <c r="G30">
        <f t="shared" ref="G30:G48" si="10">(F30-B30)/B30 *100</f>
        <v>103.2258064516129</v>
      </c>
      <c r="H30" s="3">
        <v>8.6999999999999994E-2</v>
      </c>
      <c r="I30">
        <f t="shared" ref="I30:I48" si="11">(H30-B30)/B30 *100</f>
        <v>180.64516129032256</v>
      </c>
    </row>
    <row r="31" spans="1:18" x14ac:dyDescent="0.35">
      <c r="A31">
        <v>3</v>
      </c>
      <c r="B31">
        <v>2.4E-2</v>
      </c>
      <c r="C31">
        <f t="shared" ref="C31" si="12">(B31-B31)/B31 *100</f>
        <v>0</v>
      </c>
      <c r="D31">
        <v>3.2000000000000001E-2</v>
      </c>
      <c r="E31">
        <f t="shared" si="9"/>
        <v>33.333333333333329</v>
      </c>
      <c r="F31" s="3">
        <v>5.2999999999999999E-2</v>
      </c>
      <c r="G31">
        <f t="shared" si="10"/>
        <v>120.83333333333333</v>
      </c>
      <c r="H31" s="3">
        <v>5.2999999999999999E-2</v>
      </c>
      <c r="I31">
        <f t="shared" si="11"/>
        <v>120.83333333333333</v>
      </c>
    </row>
    <row r="32" spans="1:18" x14ac:dyDescent="0.35">
      <c r="A32">
        <v>4</v>
      </c>
      <c r="B32">
        <v>2.7E-2</v>
      </c>
      <c r="C32">
        <f t="shared" ref="C32" si="13">(B32-B32)/B32 *100</f>
        <v>0</v>
      </c>
      <c r="D32">
        <v>3.9E-2</v>
      </c>
      <c r="E32">
        <f t="shared" si="9"/>
        <v>44.44444444444445</v>
      </c>
      <c r="F32">
        <v>5.7000000000000002E-2</v>
      </c>
      <c r="G32">
        <f t="shared" si="10"/>
        <v>111.11111111111111</v>
      </c>
      <c r="H32" s="3">
        <v>0.09</v>
      </c>
      <c r="I32">
        <f t="shared" si="11"/>
        <v>233.33333333333334</v>
      </c>
    </row>
    <row r="33" spans="1:9" x14ac:dyDescent="0.35">
      <c r="A33">
        <v>5</v>
      </c>
      <c r="B33">
        <v>2.9000000000000001E-2</v>
      </c>
      <c r="C33">
        <f t="shared" ref="C33" si="14">(B33-B33)/B33 *100</f>
        <v>0</v>
      </c>
      <c r="D33">
        <v>4.1000000000000002E-2</v>
      </c>
      <c r="E33">
        <f t="shared" si="9"/>
        <v>41.379310344827587</v>
      </c>
      <c r="F33">
        <v>6.4000000000000001E-2</v>
      </c>
      <c r="G33">
        <f t="shared" si="10"/>
        <v>120.68965517241379</v>
      </c>
      <c r="H33" s="3">
        <v>9.4E-2</v>
      </c>
      <c r="I33">
        <f t="shared" si="11"/>
        <v>224.13793103448273</v>
      </c>
    </row>
    <row r="34" spans="1:9" x14ac:dyDescent="0.35">
      <c r="A34">
        <v>6</v>
      </c>
      <c r="B34">
        <v>3.1E-2</v>
      </c>
      <c r="C34">
        <f t="shared" ref="C34" si="15">(B34-B34)/B34 *100</f>
        <v>0</v>
      </c>
      <c r="D34">
        <v>3.9E-2</v>
      </c>
      <c r="E34">
        <f t="shared" si="9"/>
        <v>25.806451612903224</v>
      </c>
      <c r="F34">
        <v>6.2E-2</v>
      </c>
      <c r="G34">
        <f t="shared" si="10"/>
        <v>100</v>
      </c>
      <c r="H34" s="3">
        <v>7.3999999999999996E-2</v>
      </c>
      <c r="I34">
        <f t="shared" si="11"/>
        <v>138.70967741935482</v>
      </c>
    </row>
    <row r="35" spans="1:9" x14ac:dyDescent="0.35">
      <c r="A35">
        <v>7</v>
      </c>
      <c r="B35">
        <v>3.5000000000000003E-2</v>
      </c>
      <c r="C35">
        <f t="shared" ref="C35" si="16">(B35-B35)/B35 *100</f>
        <v>0</v>
      </c>
      <c r="D35">
        <v>4.9000000000000002E-2</v>
      </c>
      <c r="E35">
        <f t="shared" si="9"/>
        <v>39.999999999999993</v>
      </c>
      <c r="F35">
        <v>7.9000000000000001E-2</v>
      </c>
      <c r="G35">
        <f t="shared" si="10"/>
        <v>125.71428571428569</v>
      </c>
      <c r="H35" s="3">
        <v>0.123</v>
      </c>
      <c r="I35">
        <f t="shared" si="11"/>
        <v>251.42857142857139</v>
      </c>
    </row>
    <row r="36" spans="1:9" x14ac:dyDescent="0.35">
      <c r="A36">
        <v>8</v>
      </c>
      <c r="B36">
        <v>3.3000000000000002E-2</v>
      </c>
      <c r="C36">
        <f t="shared" ref="C36" si="17">(B36-B36)/B36 *100</f>
        <v>0</v>
      </c>
      <c r="D36">
        <v>4.7E-2</v>
      </c>
      <c r="E36">
        <f t="shared" si="9"/>
        <v>42.424242424242422</v>
      </c>
      <c r="F36">
        <v>7.2999999999999995E-2</v>
      </c>
      <c r="G36">
        <f t="shared" si="10"/>
        <v>121.21212121212119</v>
      </c>
      <c r="H36" s="3">
        <v>0.10299999999999999</v>
      </c>
      <c r="I36">
        <f t="shared" si="11"/>
        <v>212.12121212121212</v>
      </c>
    </row>
    <row r="37" spans="1:9" x14ac:dyDescent="0.35">
      <c r="A37">
        <v>9</v>
      </c>
      <c r="B37">
        <v>3.1E-2</v>
      </c>
      <c r="C37">
        <f t="shared" ref="C37" si="18">(B37-B37)/B37 *100</f>
        <v>0</v>
      </c>
      <c r="D37">
        <v>0.04</v>
      </c>
      <c r="E37">
        <f t="shared" si="9"/>
        <v>29.032258064516132</v>
      </c>
      <c r="F37">
        <v>6.8000000000000005E-2</v>
      </c>
      <c r="G37">
        <f t="shared" si="10"/>
        <v>119.35483870967745</v>
      </c>
      <c r="H37" s="3">
        <v>0.10100000000000001</v>
      </c>
      <c r="I37">
        <f t="shared" si="11"/>
        <v>225.80645161290326</v>
      </c>
    </row>
    <row r="38" spans="1:9" x14ac:dyDescent="0.35">
      <c r="A38">
        <v>10</v>
      </c>
      <c r="B38">
        <v>3.3000000000000002E-2</v>
      </c>
      <c r="C38">
        <f t="shared" ref="C38" si="19">(B38-B38)/B38 *100</f>
        <v>0</v>
      </c>
      <c r="D38">
        <v>4.4999999999999998E-2</v>
      </c>
      <c r="E38">
        <f t="shared" si="9"/>
        <v>36.363636363636353</v>
      </c>
      <c r="F38">
        <v>7.0999999999999994E-2</v>
      </c>
      <c r="G38">
        <f t="shared" si="10"/>
        <v>115.15151515151511</v>
      </c>
      <c r="H38" s="3">
        <v>0.10100000000000001</v>
      </c>
      <c r="I38">
        <f t="shared" si="11"/>
        <v>206.06060606060606</v>
      </c>
    </row>
    <row r="39" spans="1:9" x14ac:dyDescent="0.35">
      <c r="A39">
        <v>11</v>
      </c>
      <c r="B39">
        <v>4.2000000000000003E-2</v>
      </c>
      <c r="C39">
        <f t="shared" ref="C39" si="20">(B39-B39)/B39 *100</f>
        <v>0</v>
      </c>
      <c r="D39">
        <v>5.3999999999999999E-2</v>
      </c>
      <c r="E39">
        <f t="shared" si="9"/>
        <v>28.571428571428566</v>
      </c>
      <c r="F39" s="3">
        <v>8.8999999999999996E-2</v>
      </c>
      <c r="G39">
        <f t="shared" si="10"/>
        <v>111.90476190476188</v>
      </c>
      <c r="H39" s="3">
        <v>8.8999999999999996E-2</v>
      </c>
      <c r="I39">
        <f t="shared" si="11"/>
        <v>111.90476190476188</v>
      </c>
    </row>
    <row r="40" spans="1:9" x14ac:dyDescent="0.35">
      <c r="A40">
        <v>12</v>
      </c>
      <c r="B40">
        <v>3.2000000000000001E-2</v>
      </c>
      <c r="C40">
        <f t="shared" ref="C40" si="21">(B40-B40)/B40 *100</f>
        <v>0</v>
      </c>
      <c r="D40">
        <v>4.2999999999999997E-2</v>
      </c>
      <c r="E40">
        <f t="shared" si="9"/>
        <v>34.374999999999986</v>
      </c>
      <c r="F40">
        <v>7.0999999999999994E-2</v>
      </c>
      <c r="G40">
        <f t="shared" si="10"/>
        <v>121.87499999999997</v>
      </c>
      <c r="H40" s="3">
        <v>9.6000000000000002E-2</v>
      </c>
      <c r="I40">
        <f t="shared" si="11"/>
        <v>200</v>
      </c>
    </row>
    <row r="41" spans="1:9" x14ac:dyDescent="0.35">
      <c r="A41">
        <v>13</v>
      </c>
      <c r="B41">
        <v>2.9000000000000001E-2</v>
      </c>
      <c r="C41">
        <f t="shared" ref="C41" si="22">(B41-B41)/B41 *100</f>
        <v>0</v>
      </c>
      <c r="D41">
        <v>0.04</v>
      </c>
      <c r="E41">
        <f t="shared" si="9"/>
        <v>37.931034482758619</v>
      </c>
      <c r="F41">
        <v>5.8999999999999997E-2</v>
      </c>
      <c r="G41">
        <f t="shared" si="10"/>
        <v>103.44827586206895</v>
      </c>
      <c r="H41" s="3">
        <v>7.5999999999999998E-2</v>
      </c>
      <c r="I41">
        <f t="shared" si="11"/>
        <v>162.06896551724137</v>
      </c>
    </row>
    <row r="42" spans="1:9" x14ac:dyDescent="0.35">
      <c r="A42">
        <v>14</v>
      </c>
      <c r="B42">
        <v>2.7E-2</v>
      </c>
      <c r="C42">
        <f t="shared" ref="C42" si="23">(B42-B42)/B42 *100</f>
        <v>0</v>
      </c>
      <c r="D42">
        <v>3.5999999999999997E-2</v>
      </c>
      <c r="E42">
        <f t="shared" si="9"/>
        <v>33.333333333333329</v>
      </c>
      <c r="F42">
        <v>5.8999999999999997E-2</v>
      </c>
      <c r="G42">
        <f t="shared" si="10"/>
        <v>118.5185185185185</v>
      </c>
      <c r="H42" s="3">
        <v>9.5000000000000001E-2</v>
      </c>
      <c r="I42">
        <f t="shared" si="11"/>
        <v>251.85185185185185</v>
      </c>
    </row>
    <row r="43" spans="1:9" x14ac:dyDescent="0.35">
      <c r="A43">
        <v>15</v>
      </c>
      <c r="B43">
        <v>2.5999999999999999E-2</v>
      </c>
      <c r="C43">
        <f t="shared" ref="C43" si="24">(B43-B43)/B43 *100</f>
        <v>0</v>
      </c>
      <c r="D43">
        <v>3.1E-2</v>
      </c>
      <c r="E43">
        <f t="shared" si="9"/>
        <v>19.230769230769234</v>
      </c>
      <c r="F43">
        <v>5.5E-2</v>
      </c>
      <c r="G43">
        <f t="shared" si="10"/>
        <v>111.53846153846155</v>
      </c>
      <c r="H43" s="3">
        <v>7.0999999999999994E-2</v>
      </c>
      <c r="I43">
        <f t="shared" si="11"/>
        <v>173.07692307692309</v>
      </c>
    </row>
    <row r="44" spans="1:9" x14ac:dyDescent="0.35">
      <c r="A44">
        <v>16</v>
      </c>
      <c r="B44">
        <v>2.4E-2</v>
      </c>
      <c r="C44">
        <f t="shared" ref="C44" si="25">(B44-B44)/B44 *100</f>
        <v>0</v>
      </c>
      <c r="D44">
        <v>3.7999999999999999E-2</v>
      </c>
      <c r="E44">
        <f t="shared" si="9"/>
        <v>58.333333333333329</v>
      </c>
      <c r="F44">
        <v>5.2999999999999999E-2</v>
      </c>
      <c r="G44">
        <f t="shared" si="10"/>
        <v>120.83333333333333</v>
      </c>
      <c r="H44" s="3">
        <v>7.9000000000000001E-2</v>
      </c>
      <c r="I44">
        <f t="shared" si="11"/>
        <v>229.16666666666666</v>
      </c>
    </row>
    <row r="45" spans="1:9" x14ac:dyDescent="0.35">
      <c r="A45">
        <v>17</v>
      </c>
      <c r="B45">
        <v>3.7999999999999999E-2</v>
      </c>
      <c r="C45">
        <f t="shared" ref="C45" si="26">(B45-B45)/B45 *100</f>
        <v>0</v>
      </c>
      <c r="D45">
        <v>0.05</v>
      </c>
      <c r="E45">
        <f t="shared" si="9"/>
        <v>31.578947368421062</v>
      </c>
      <c r="F45">
        <v>0.08</v>
      </c>
      <c r="G45">
        <f t="shared" si="10"/>
        <v>110.5263157894737</v>
      </c>
      <c r="H45" s="3">
        <v>0.104</v>
      </c>
      <c r="I45">
        <f t="shared" si="11"/>
        <v>173.68421052631581</v>
      </c>
    </row>
    <row r="46" spans="1:9" x14ac:dyDescent="0.35">
      <c r="A46">
        <v>18</v>
      </c>
      <c r="B46">
        <v>3.1E-2</v>
      </c>
      <c r="C46">
        <f t="shared" ref="C46" si="27">(B46-B46)/B46 *100</f>
        <v>0</v>
      </c>
      <c r="D46">
        <v>4.1000000000000002E-2</v>
      </c>
      <c r="E46">
        <f t="shared" si="9"/>
        <v>32.258064516129039</v>
      </c>
      <c r="F46">
        <v>6.6000000000000003E-2</v>
      </c>
      <c r="G46">
        <f t="shared" si="10"/>
        <v>112.90322580645163</v>
      </c>
      <c r="H46" s="3">
        <v>9.7000000000000003E-2</v>
      </c>
      <c r="I46">
        <f t="shared" si="11"/>
        <v>212.90322580645164</v>
      </c>
    </row>
    <row r="47" spans="1:9" x14ac:dyDescent="0.35">
      <c r="A47">
        <v>19</v>
      </c>
      <c r="B47">
        <v>3.2000000000000001E-2</v>
      </c>
      <c r="C47">
        <f t="shared" ref="C47" si="28">(B47-B47)/B47 *100</f>
        <v>0</v>
      </c>
      <c r="D47">
        <v>4.5999999999999999E-2</v>
      </c>
      <c r="E47">
        <f t="shared" si="9"/>
        <v>43.749999999999993</v>
      </c>
      <c r="F47">
        <v>6.5000000000000002E-2</v>
      </c>
      <c r="G47">
        <f t="shared" si="10"/>
        <v>103.125</v>
      </c>
      <c r="H47" s="3">
        <v>0.10199999999999999</v>
      </c>
      <c r="I47">
        <f t="shared" si="11"/>
        <v>218.74999999999994</v>
      </c>
    </row>
    <row r="48" spans="1:9" x14ac:dyDescent="0.35">
      <c r="A48">
        <v>20</v>
      </c>
      <c r="B48">
        <v>2.8000000000000001E-2</v>
      </c>
      <c r="C48">
        <f t="shared" ref="C48" si="29">(B48-B48)/B48 *100</f>
        <v>0</v>
      </c>
      <c r="D48">
        <v>4.5999999999999999E-2</v>
      </c>
      <c r="E48">
        <f t="shared" si="9"/>
        <v>64.285714285714278</v>
      </c>
      <c r="F48" s="3">
        <v>0.06</v>
      </c>
      <c r="G48">
        <f t="shared" si="10"/>
        <v>114.28571428571428</v>
      </c>
      <c r="H48" s="3">
        <v>0.06</v>
      </c>
      <c r="I48">
        <f t="shared" si="11"/>
        <v>114.28571428571428</v>
      </c>
    </row>
  </sheetData>
  <mergeCells count="3">
    <mergeCell ref="B3:F3"/>
    <mergeCell ref="R5:R24"/>
    <mergeCell ref="B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5B9C-751C-4927-9F3A-8F1C3C40FB1D}">
  <dimension ref="A1:T52"/>
  <sheetViews>
    <sheetView tabSelected="1" topLeftCell="E12" workbookViewId="0">
      <selection activeCell="R25" sqref="R25"/>
    </sheetView>
  </sheetViews>
  <sheetFormatPr defaultRowHeight="14.5" x14ac:dyDescent="0.35"/>
  <sheetData>
    <row r="1" spans="1:20" x14ac:dyDescent="0.35">
      <c r="A1" t="s">
        <v>3</v>
      </c>
    </row>
    <row r="4" spans="1:20" x14ac:dyDescent="0.35">
      <c r="B4">
        <v>0</v>
      </c>
      <c r="C4">
        <v>3</v>
      </c>
      <c r="D4">
        <v>6</v>
      </c>
      <c r="E4">
        <v>24</v>
      </c>
      <c r="F4">
        <v>96</v>
      </c>
      <c r="G4">
        <v>120</v>
      </c>
      <c r="H4">
        <v>144</v>
      </c>
      <c r="I4">
        <v>168</v>
      </c>
    </row>
    <row r="5" spans="1:20" x14ac:dyDescent="0.35">
      <c r="A5">
        <v>1</v>
      </c>
      <c r="B5">
        <v>0</v>
      </c>
      <c r="C5">
        <v>0</v>
      </c>
      <c r="D5">
        <v>3.4482758620689564</v>
      </c>
      <c r="E5">
        <v>3.4482758620689564</v>
      </c>
      <c r="F5">
        <v>3.4482758620689564</v>
      </c>
      <c r="G5">
        <v>6.8965517241379253</v>
      </c>
      <c r="H5">
        <v>6.8965517241379253</v>
      </c>
      <c r="I5">
        <v>6.8965517241379253</v>
      </c>
      <c r="M5">
        <v>0</v>
      </c>
      <c r="N5">
        <v>3</v>
      </c>
      <c r="O5">
        <v>6</v>
      </c>
      <c r="P5">
        <v>24</v>
      </c>
      <c r="Q5">
        <v>96</v>
      </c>
      <c r="R5">
        <v>120</v>
      </c>
      <c r="S5">
        <v>144</v>
      </c>
      <c r="T5">
        <v>168</v>
      </c>
    </row>
    <row r="6" spans="1:20" x14ac:dyDescent="0.35">
      <c r="A6">
        <v>2</v>
      </c>
      <c r="B6">
        <v>0</v>
      </c>
      <c r="C6">
        <v>7.4074074074074137</v>
      </c>
      <c r="D6">
        <v>77.777777777777786</v>
      </c>
      <c r="E6">
        <v>200.00000000000006</v>
      </c>
      <c r="L6" t="s">
        <v>16</v>
      </c>
      <c r="M6">
        <v>0</v>
      </c>
      <c r="N6">
        <v>0.57870370370370416</v>
      </c>
      <c r="O6">
        <v>9.317777711028338</v>
      </c>
      <c r="P6">
        <v>72.338362764397999</v>
      </c>
      <c r="Q6">
        <v>136.31317766179353</v>
      </c>
      <c r="R6">
        <v>156.48116885047438</v>
      </c>
      <c r="S6">
        <v>159.66298703229259</v>
      </c>
      <c r="T6">
        <v>162.39025975956531</v>
      </c>
    </row>
    <row r="7" spans="1:20" x14ac:dyDescent="0.35">
      <c r="A7">
        <v>3</v>
      </c>
      <c r="B7">
        <v>0</v>
      </c>
      <c r="C7">
        <v>0</v>
      </c>
      <c r="D7">
        <v>0</v>
      </c>
      <c r="E7">
        <v>0</v>
      </c>
      <c r="F7">
        <v>31.818181818181834</v>
      </c>
      <c r="G7">
        <v>59.090909090909115</v>
      </c>
      <c r="H7">
        <v>122.72727272727275</v>
      </c>
      <c r="I7">
        <v>177.27272727272728</v>
      </c>
      <c r="L7" t="s">
        <v>2</v>
      </c>
      <c r="M7">
        <v>0</v>
      </c>
      <c r="N7">
        <v>38.710330380261517</v>
      </c>
      <c r="O7">
        <v>117.62290852232893</v>
      </c>
      <c r="P7">
        <v>198.59015400143335</v>
      </c>
    </row>
    <row r="8" spans="1:20" x14ac:dyDescent="0.35">
      <c r="A8">
        <v>4</v>
      </c>
      <c r="B8">
        <v>0</v>
      </c>
      <c r="C8">
        <v>0</v>
      </c>
      <c r="D8">
        <v>0</v>
      </c>
      <c r="E8">
        <v>0</v>
      </c>
      <c r="F8">
        <v>64.86486486486487</v>
      </c>
      <c r="G8">
        <v>194.59459459459464</v>
      </c>
    </row>
    <row r="9" spans="1:20" x14ac:dyDescent="0.35">
      <c r="A9">
        <v>5</v>
      </c>
      <c r="B9">
        <v>0</v>
      </c>
      <c r="C9">
        <v>0</v>
      </c>
      <c r="D9">
        <v>0</v>
      </c>
      <c r="E9">
        <v>0</v>
      </c>
      <c r="F9">
        <v>178.57142857142858</v>
      </c>
    </row>
    <row r="10" spans="1:20" x14ac:dyDescent="0.35">
      <c r="A10">
        <v>6</v>
      </c>
      <c r="B10">
        <v>0</v>
      </c>
      <c r="C10">
        <v>0</v>
      </c>
      <c r="D10">
        <v>0</v>
      </c>
      <c r="E10">
        <v>179.31034482758622</v>
      </c>
      <c r="F10">
        <v>179.31034482758622</v>
      </c>
    </row>
    <row r="11" spans="1:20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163.63636363636368</v>
      </c>
      <c r="G11">
        <v>254.54545454545459</v>
      </c>
    </row>
    <row r="12" spans="1:20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20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156.25</v>
      </c>
      <c r="M13">
        <v>0</v>
      </c>
      <c r="N13">
        <v>0.81394255434291585</v>
      </c>
      <c r="O13">
        <v>11.364399880691931</v>
      </c>
      <c r="P13">
        <v>36.950668871268142</v>
      </c>
      <c r="Q13">
        <v>39.49450667793576</v>
      </c>
      <c r="R13">
        <v>41.894486072998141</v>
      </c>
      <c r="S13">
        <v>40.85011646427003</v>
      </c>
      <c r="T13">
        <v>40.700998575791566</v>
      </c>
    </row>
    <row r="14" spans="1:20" x14ac:dyDescent="0.35">
      <c r="A14">
        <v>10</v>
      </c>
      <c r="B14">
        <v>0</v>
      </c>
      <c r="C14">
        <v>0</v>
      </c>
      <c r="D14">
        <v>0</v>
      </c>
      <c r="E14">
        <v>124.99999999999997</v>
      </c>
      <c r="F14">
        <v>218.74999999999994</v>
      </c>
      <c r="M14">
        <v>0</v>
      </c>
      <c r="N14">
        <v>5.3184023695730076</v>
      </c>
      <c r="O14">
        <v>7.7654835474606694</v>
      </c>
      <c r="P14">
        <v>23.52392054273156</v>
      </c>
    </row>
    <row r="15" spans="1:20" x14ac:dyDescent="0.35">
      <c r="A15">
        <v>11</v>
      </c>
      <c r="B15">
        <v>0</v>
      </c>
      <c r="C15">
        <v>0</v>
      </c>
      <c r="D15">
        <v>0</v>
      </c>
      <c r="E15">
        <v>138.23529411764704</v>
      </c>
      <c r="F15">
        <v>138.23529411764704</v>
      </c>
    </row>
    <row r="16" spans="1:20" x14ac:dyDescent="0.35">
      <c r="A16">
        <v>12</v>
      </c>
      <c r="B16">
        <v>0</v>
      </c>
      <c r="C16">
        <v>0</v>
      </c>
      <c r="D16">
        <v>3.9999999999999898</v>
      </c>
      <c r="E16">
        <v>3.9999999999999898</v>
      </c>
      <c r="F16">
        <v>132</v>
      </c>
      <c r="G16">
        <v>284.00000000000006</v>
      </c>
    </row>
    <row r="17" spans="1:9" x14ac:dyDescent="0.35">
      <c r="A17">
        <v>13</v>
      </c>
      <c r="B17">
        <v>0</v>
      </c>
      <c r="C17">
        <v>0</v>
      </c>
      <c r="D17">
        <v>2.8571428571428399</v>
      </c>
      <c r="E17">
        <v>2.8571428571428399</v>
      </c>
      <c r="F17">
        <v>2.8571428571428399</v>
      </c>
      <c r="G17">
        <v>2.8571428571428399</v>
      </c>
      <c r="H17">
        <v>2.8571428571428399</v>
      </c>
      <c r="I17">
        <v>2.8571428571428399</v>
      </c>
    </row>
    <row r="18" spans="1:9" x14ac:dyDescent="0.35">
      <c r="A18">
        <v>14</v>
      </c>
      <c r="B18">
        <v>0</v>
      </c>
      <c r="C18">
        <v>4.1666666666666705</v>
      </c>
      <c r="D18">
        <v>4.1666666666666705</v>
      </c>
      <c r="E18">
        <v>4.1666666666666705</v>
      </c>
      <c r="F18">
        <v>4.1666666666666705</v>
      </c>
      <c r="G18">
        <v>4.1666666666666705</v>
      </c>
      <c r="H18">
        <v>4.1666666666666705</v>
      </c>
      <c r="I18">
        <v>4.1666666666666705</v>
      </c>
    </row>
    <row r="19" spans="1:9" x14ac:dyDescent="0.35">
      <c r="A19">
        <v>15</v>
      </c>
      <c r="B19">
        <v>0</v>
      </c>
      <c r="C19">
        <v>0</v>
      </c>
      <c r="D19">
        <v>0</v>
      </c>
      <c r="E19">
        <v>227.99999999999997</v>
      </c>
    </row>
    <row r="20" spans="1:9" x14ac:dyDescent="0.35">
      <c r="A20">
        <v>16</v>
      </c>
      <c r="B20">
        <v>0</v>
      </c>
      <c r="C20">
        <v>0</v>
      </c>
      <c r="D20">
        <v>2.4390243902439046</v>
      </c>
      <c r="E20">
        <v>114.63414634146338</v>
      </c>
    </row>
    <row r="21" spans="1:9" x14ac:dyDescent="0.35">
      <c r="A21">
        <v>17</v>
      </c>
      <c r="B21">
        <v>0</v>
      </c>
      <c r="C21">
        <v>0</v>
      </c>
      <c r="D21">
        <v>0</v>
      </c>
      <c r="E21">
        <v>123.07692307692308</v>
      </c>
      <c r="F21">
        <v>226.92307692307696</v>
      </c>
    </row>
    <row r="22" spans="1:9" x14ac:dyDescent="0.35">
      <c r="A22">
        <v>18</v>
      </c>
      <c r="B22">
        <v>0</v>
      </c>
      <c r="C22">
        <v>0</v>
      </c>
      <c r="D22">
        <v>0</v>
      </c>
      <c r="E22">
        <v>161.53846153846158</v>
      </c>
      <c r="F22">
        <v>253.84615384615387</v>
      </c>
    </row>
    <row r="23" spans="1:9" x14ac:dyDescent="0.35">
      <c r="A23">
        <v>19</v>
      </c>
      <c r="B23">
        <v>0</v>
      </c>
      <c r="C23">
        <v>0</v>
      </c>
      <c r="D23">
        <v>0</v>
      </c>
      <c r="E23">
        <v>0</v>
      </c>
      <c r="F23">
        <v>206.45161290322579</v>
      </c>
    </row>
    <row r="24" spans="1:9" x14ac:dyDescent="0.35">
      <c r="A24">
        <v>20</v>
      </c>
      <c r="B24">
        <v>0</v>
      </c>
      <c r="C24">
        <v>0</v>
      </c>
      <c r="D24">
        <v>91.666666666666657</v>
      </c>
      <c r="E24">
        <v>162.5</v>
      </c>
    </row>
    <row r="25" spans="1:9" x14ac:dyDescent="0.35">
      <c r="B25">
        <f>AVERAGE(B5:B24)</f>
        <v>0</v>
      </c>
      <c r="C25">
        <f t="shared" ref="C25:I25" si="0">AVERAGE(C5:C24)</f>
        <v>0.57870370370370416</v>
      </c>
      <c r="D25">
        <f t="shared" si="0"/>
        <v>9.317777711028338</v>
      </c>
      <c r="E25">
        <f t="shared" si="0"/>
        <v>72.338362764397999</v>
      </c>
      <c r="F25">
        <f t="shared" si="0"/>
        <v>122.57058793090046</v>
      </c>
      <c r="G25">
        <f t="shared" si="0"/>
        <v>100.76891493486322</v>
      </c>
      <c r="H25">
        <f t="shared" si="0"/>
        <v>27.329526795044035</v>
      </c>
      <c r="I25">
        <f t="shared" si="0"/>
        <v>38.238617704134938</v>
      </c>
    </row>
    <row r="26" spans="1:9" x14ac:dyDescent="0.35">
      <c r="B26">
        <f>_xlfn.STDEV.S(B5:B24)</f>
        <v>0</v>
      </c>
      <c r="C26">
        <f t="shared" ref="C26:I26" si="1">_xlfn.STDEV.S(C5:C24)</f>
        <v>1.8571743686638535</v>
      </c>
      <c r="D26">
        <f t="shared" si="1"/>
        <v>25.930174139507812</v>
      </c>
      <c r="E26">
        <f t="shared" si="1"/>
        <v>84.310415724735719</v>
      </c>
      <c r="F26">
        <f t="shared" si="1"/>
        <v>90.572304449937761</v>
      </c>
      <c r="G26">
        <f t="shared" si="1"/>
        <v>122.8508231714268</v>
      </c>
      <c r="H26">
        <f t="shared" si="1"/>
        <v>53.386690988883593</v>
      </c>
      <c r="I26">
        <f t="shared" si="1"/>
        <v>77.762052469692392</v>
      </c>
    </row>
    <row r="27" spans="1:9" x14ac:dyDescent="0.35">
      <c r="B27">
        <f>1.96 * B26/(SQRT(20))</f>
        <v>0</v>
      </c>
      <c r="C27">
        <f t="shared" ref="C27:I27" si="2">1.96 * C26/(SQRT(20))</f>
        <v>0.81394255434291585</v>
      </c>
      <c r="D27">
        <f t="shared" si="2"/>
        <v>11.364399880691931</v>
      </c>
      <c r="E27">
        <f t="shared" si="2"/>
        <v>36.950668871268142</v>
      </c>
      <c r="F27">
        <f t="shared" si="2"/>
        <v>39.695062607258038</v>
      </c>
      <c r="G27">
        <f t="shared" si="2"/>
        <v>53.841747173810852</v>
      </c>
      <c r="H27">
        <f t="shared" si="2"/>
        <v>23.397748948404161</v>
      </c>
      <c r="I27">
        <f t="shared" si="2"/>
        <v>34.080722136858967</v>
      </c>
    </row>
    <row r="29" spans="1:9" x14ac:dyDescent="0.35">
      <c r="A29" t="s">
        <v>1</v>
      </c>
      <c r="B29">
        <v>0</v>
      </c>
      <c r="C29">
        <v>3</v>
      </c>
      <c r="D29">
        <v>6</v>
      </c>
      <c r="E29">
        <v>24</v>
      </c>
    </row>
    <row r="30" spans="1:9" x14ac:dyDescent="0.35">
      <c r="A30">
        <v>1</v>
      </c>
      <c r="B30">
        <v>0</v>
      </c>
      <c r="C30">
        <v>65.517241379310349</v>
      </c>
      <c r="D30">
        <v>186.20689655172416</v>
      </c>
      <c r="E30">
        <v>331.0344827586207</v>
      </c>
    </row>
    <row r="31" spans="1:9" x14ac:dyDescent="0.35">
      <c r="A31">
        <v>2</v>
      </c>
      <c r="B31">
        <v>0</v>
      </c>
      <c r="C31">
        <v>32.258064516129039</v>
      </c>
      <c r="D31">
        <v>103.2258064516129</v>
      </c>
      <c r="E31">
        <v>180.64516129032256</v>
      </c>
    </row>
    <row r="32" spans="1:9" x14ac:dyDescent="0.35">
      <c r="A32">
        <v>3</v>
      </c>
      <c r="B32">
        <v>0</v>
      </c>
      <c r="C32">
        <v>33.333333333333329</v>
      </c>
      <c r="D32">
        <v>120.83333333333333</v>
      </c>
      <c r="E32">
        <v>120.83333333333333</v>
      </c>
    </row>
    <row r="33" spans="1:5" x14ac:dyDescent="0.35">
      <c r="A33">
        <v>4</v>
      </c>
      <c r="B33">
        <v>0</v>
      </c>
      <c r="C33">
        <v>44.44444444444445</v>
      </c>
      <c r="D33">
        <v>111.11111111111111</v>
      </c>
      <c r="E33">
        <v>233.33333333333334</v>
      </c>
    </row>
    <row r="34" spans="1:5" x14ac:dyDescent="0.35">
      <c r="A34">
        <v>5</v>
      </c>
      <c r="B34">
        <v>0</v>
      </c>
      <c r="C34">
        <v>41.379310344827587</v>
      </c>
      <c r="D34">
        <v>120.68965517241379</v>
      </c>
      <c r="E34">
        <v>224.13793103448273</v>
      </c>
    </row>
    <row r="35" spans="1:5" x14ac:dyDescent="0.35">
      <c r="A35">
        <v>6</v>
      </c>
      <c r="B35">
        <v>0</v>
      </c>
      <c r="C35">
        <v>25.806451612903224</v>
      </c>
      <c r="D35">
        <v>100</v>
      </c>
      <c r="E35">
        <v>138.70967741935482</v>
      </c>
    </row>
    <row r="36" spans="1:5" x14ac:dyDescent="0.35">
      <c r="A36">
        <v>7</v>
      </c>
      <c r="B36">
        <v>0</v>
      </c>
      <c r="C36">
        <v>39.999999999999993</v>
      </c>
      <c r="D36">
        <v>125.71428571428569</v>
      </c>
      <c r="E36">
        <v>251.42857142857139</v>
      </c>
    </row>
    <row r="37" spans="1:5" x14ac:dyDescent="0.35">
      <c r="A37">
        <v>8</v>
      </c>
      <c r="B37">
        <v>0</v>
      </c>
      <c r="C37">
        <v>42.424242424242422</v>
      </c>
      <c r="D37">
        <v>121.21212121212119</v>
      </c>
      <c r="E37">
        <v>212.12121212121212</v>
      </c>
    </row>
    <row r="38" spans="1:5" x14ac:dyDescent="0.35">
      <c r="A38">
        <v>9</v>
      </c>
      <c r="B38">
        <v>0</v>
      </c>
      <c r="C38">
        <v>29.032258064516132</v>
      </c>
      <c r="D38">
        <v>119.35483870967745</v>
      </c>
      <c r="E38">
        <v>225.80645161290326</v>
      </c>
    </row>
    <row r="39" spans="1:5" x14ac:dyDescent="0.35">
      <c r="A39">
        <v>10</v>
      </c>
      <c r="B39">
        <v>0</v>
      </c>
      <c r="C39">
        <v>36.363636363636353</v>
      </c>
      <c r="D39">
        <v>115.15151515151511</v>
      </c>
      <c r="E39">
        <v>206.06060606060606</v>
      </c>
    </row>
    <row r="40" spans="1:5" x14ac:dyDescent="0.35">
      <c r="A40">
        <v>11</v>
      </c>
      <c r="B40">
        <v>0</v>
      </c>
      <c r="C40">
        <v>28.571428571428566</v>
      </c>
      <c r="D40">
        <v>111.90476190476188</v>
      </c>
      <c r="E40">
        <v>111.90476190476188</v>
      </c>
    </row>
    <row r="41" spans="1:5" x14ac:dyDescent="0.35">
      <c r="A41">
        <v>12</v>
      </c>
      <c r="B41">
        <v>0</v>
      </c>
      <c r="C41">
        <v>34.374999999999986</v>
      </c>
      <c r="D41">
        <v>121.87499999999997</v>
      </c>
      <c r="E41">
        <v>200</v>
      </c>
    </row>
    <row r="42" spans="1:5" x14ac:dyDescent="0.35">
      <c r="A42">
        <v>13</v>
      </c>
      <c r="B42">
        <v>0</v>
      </c>
      <c r="C42">
        <v>37.931034482758619</v>
      </c>
      <c r="D42">
        <v>103.44827586206895</v>
      </c>
      <c r="E42">
        <v>162.06896551724137</v>
      </c>
    </row>
    <row r="43" spans="1:5" x14ac:dyDescent="0.35">
      <c r="A43">
        <v>14</v>
      </c>
      <c r="B43">
        <v>0</v>
      </c>
      <c r="C43">
        <v>33.333333333333329</v>
      </c>
      <c r="D43">
        <v>118.5185185185185</v>
      </c>
      <c r="E43">
        <v>251.85185185185185</v>
      </c>
    </row>
    <row r="44" spans="1:5" x14ac:dyDescent="0.35">
      <c r="A44">
        <v>15</v>
      </c>
      <c r="B44">
        <v>0</v>
      </c>
      <c r="C44">
        <v>19.230769230769234</v>
      </c>
      <c r="D44">
        <v>111.53846153846155</v>
      </c>
      <c r="E44">
        <v>173.07692307692309</v>
      </c>
    </row>
    <row r="45" spans="1:5" x14ac:dyDescent="0.35">
      <c r="A45">
        <v>16</v>
      </c>
      <c r="B45">
        <v>0</v>
      </c>
      <c r="C45">
        <v>58.333333333333329</v>
      </c>
      <c r="D45">
        <v>120.83333333333333</v>
      </c>
      <c r="E45">
        <v>229.16666666666666</v>
      </c>
    </row>
    <row r="46" spans="1:5" x14ac:dyDescent="0.35">
      <c r="A46">
        <v>17</v>
      </c>
      <c r="B46">
        <v>0</v>
      </c>
      <c r="C46">
        <v>31.578947368421062</v>
      </c>
      <c r="D46">
        <v>110.5263157894737</v>
      </c>
      <c r="E46">
        <v>173.68421052631581</v>
      </c>
    </row>
    <row r="47" spans="1:5" x14ac:dyDescent="0.35">
      <c r="A47">
        <v>18</v>
      </c>
      <c r="B47">
        <v>0</v>
      </c>
      <c r="C47">
        <v>32.258064516129039</v>
      </c>
      <c r="D47">
        <v>112.90322580645163</v>
      </c>
      <c r="E47">
        <v>212.90322580645164</v>
      </c>
    </row>
    <row r="48" spans="1:5" x14ac:dyDescent="0.35">
      <c r="A48">
        <v>19</v>
      </c>
      <c r="B48">
        <v>0</v>
      </c>
      <c r="C48">
        <v>43.749999999999993</v>
      </c>
      <c r="D48">
        <v>103.125</v>
      </c>
      <c r="E48">
        <v>218.74999999999994</v>
      </c>
    </row>
    <row r="49" spans="1:5" x14ac:dyDescent="0.35">
      <c r="A49">
        <v>20</v>
      </c>
      <c r="B49">
        <v>0</v>
      </c>
      <c r="C49">
        <v>64.285714285714278</v>
      </c>
      <c r="D49">
        <v>114.28571428571428</v>
      </c>
      <c r="E49">
        <v>114.28571428571428</v>
      </c>
    </row>
    <row r="50" spans="1:5" x14ac:dyDescent="0.35">
      <c r="B50">
        <f>AVERAGE(B30:B49)</f>
        <v>0</v>
      </c>
      <c r="C50">
        <f t="shared" ref="C50" si="3">AVERAGE(C30:C49)</f>
        <v>38.710330380261517</v>
      </c>
      <c r="D50">
        <f t="shared" ref="D50" si="4">AVERAGE(D30:D49)</f>
        <v>117.62290852232893</v>
      </c>
      <c r="E50">
        <f t="shared" ref="E50" si="5">AVERAGE(E30:E49)</f>
        <v>198.59015400143335</v>
      </c>
    </row>
    <row r="51" spans="1:5" x14ac:dyDescent="0.35">
      <c r="B51">
        <f>_xlfn.STDEV.S(B30:B49)</f>
        <v>0</v>
      </c>
      <c r="C51">
        <f t="shared" ref="C51:E51" si="6">_xlfn.STDEV.S(C30:C49)</f>
        <v>12.135009418429801</v>
      </c>
      <c r="D51">
        <f t="shared" si="6"/>
        <v>17.718519479875788</v>
      </c>
      <c r="E51">
        <f t="shared" si="6"/>
        <v>53.674576970256652</v>
      </c>
    </row>
    <row r="52" spans="1:5" x14ac:dyDescent="0.35">
      <c r="B52">
        <f>1.96 * B51/(SQRT(20))</f>
        <v>0</v>
      </c>
      <c r="C52">
        <f t="shared" ref="C52" si="7">1.96 * C51/(SQRT(20))</f>
        <v>5.3184023695730076</v>
      </c>
      <c r="D52">
        <f t="shared" ref="D52" si="8">1.96 * D51/(SQRT(20))</f>
        <v>7.7654835474606694</v>
      </c>
      <c r="E52">
        <f t="shared" ref="E52" si="9">1.96 * E51/(SQRT(20))</f>
        <v>23.52392054273156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5DE5-94E7-4FE8-BDB7-1A1DEBB1E345}">
  <dimension ref="A1:D8"/>
  <sheetViews>
    <sheetView workbookViewId="0">
      <selection activeCell="D3" sqref="D3"/>
    </sheetView>
  </sheetViews>
  <sheetFormatPr defaultRowHeight="14.5" x14ac:dyDescent="0.35"/>
  <sheetData>
    <row r="1" spans="1:4" x14ac:dyDescent="0.35">
      <c r="A1" t="s">
        <v>6</v>
      </c>
    </row>
    <row r="3" spans="1:4" x14ac:dyDescent="0.35">
      <c r="B3" t="s">
        <v>7</v>
      </c>
      <c r="C3" t="s">
        <v>8</v>
      </c>
      <c r="D3" t="s">
        <v>6</v>
      </c>
    </row>
    <row r="4" spans="1:4" x14ac:dyDescent="0.35">
      <c r="B4">
        <v>0.214</v>
      </c>
      <c r="C4">
        <v>3.3000000000000002E-2</v>
      </c>
      <c r="D4">
        <f>C4/(B4+C4)</f>
        <v>0.13360323886639677</v>
      </c>
    </row>
    <row r="5" spans="1:4" x14ac:dyDescent="0.35">
      <c r="B5">
        <v>0.24299999999999999</v>
      </c>
      <c r="C5">
        <v>3.7999999999999999E-2</v>
      </c>
      <c r="D5">
        <f t="shared" ref="D5:D6" si="0">C5/(B5+C5)</f>
        <v>0.13523131672597866</v>
      </c>
    </row>
    <row r="6" spans="1:4" x14ac:dyDescent="0.35">
      <c r="B6">
        <v>0.217</v>
      </c>
      <c r="C6">
        <v>3.3000000000000002E-2</v>
      </c>
      <c r="D6">
        <f t="shared" si="0"/>
        <v>0.13200000000000001</v>
      </c>
    </row>
    <row r="7" spans="1:4" x14ac:dyDescent="0.35">
      <c r="B7" s="9" t="s">
        <v>9</v>
      </c>
      <c r="C7" s="9"/>
      <c r="D7">
        <f>AVERAGE(D4:D6)</f>
        <v>0.13361151853079181</v>
      </c>
    </row>
    <row r="8" spans="1:4" x14ac:dyDescent="0.35">
      <c r="D8">
        <f>_xlfn.STDEV.S(D4:D6)</f>
        <v>1.6156742742673156E-3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Imbibition</vt:lpstr>
      <vt:lpstr>Sheet1</vt:lpstr>
      <vt:lpstr>Sheet2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2023-02-16T15:37:56Z</dcterms:created>
  <dcterms:modified xsi:type="dcterms:W3CDTF">2026-02-21T11:11:45Z</dcterms:modified>
</cp:coreProperties>
</file>