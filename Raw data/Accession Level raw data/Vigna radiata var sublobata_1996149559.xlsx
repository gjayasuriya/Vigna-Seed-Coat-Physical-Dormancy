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jay\Desktop\Meise visit\Meise Project\Imbibition germination and SCR\"/>
    </mc:Choice>
  </mc:AlternateContent>
  <xr:revisionPtr revIDLastSave="0" documentId="13_ncr:1_{A7987759-4445-42CB-9D34-D5757A4BFD23}" xr6:coauthVersionLast="47" xr6:coauthVersionMax="47" xr10:uidLastSave="{00000000-0000-0000-0000-000000000000}"/>
  <bookViews>
    <workbookView xWindow="-110" yWindow="-110" windowWidth="19420" windowHeight="10300" activeTab="2" xr2:uid="{3B47AACB-352E-44F3-9EC8-FB2EA862503B}"/>
  </bookViews>
  <sheets>
    <sheet name="Imbibition" sheetId="1" r:id="rId1"/>
    <sheet name="Sheet1" sheetId="4" r:id="rId2"/>
    <sheet name="Sheet3" sheetId="6" r:id="rId3"/>
    <sheet name="Germination" sheetId="3" r:id="rId4"/>
    <sheet name="SCR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6" l="1"/>
  <c r="S25" i="6" s="1"/>
  <c r="C52" i="6"/>
  <c r="E51" i="6"/>
  <c r="E52" i="6" s="1"/>
  <c r="D51" i="6"/>
  <c r="D52" i="6" s="1"/>
  <c r="C51" i="6"/>
  <c r="B51" i="6"/>
  <c r="B52" i="6" s="1"/>
  <c r="E50" i="6"/>
  <c r="D50" i="6"/>
  <c r="C50" i="6"/>
  <c r="B50" i="6"/>
  <c r="I51" i="6"/>
  <c r="H51" i="6"/>
  <c r="G51" i="6"/>
  <c r="F51" i="6"/>
  <c r="C28" i="6"/>
  <c r="D28" i="6"/>
  <c r="E28" i="6"/>
  <c r="F28" i="6"/>
  <c r="G28" i="6"/>
  <c r="H28" i="6"/>
  <c r="I28" i="6"/>
  <c r="B28" i="6"/>
  <c r="C27" i="6"/>
  <c r="D27" i="6"/>
  <c r="E27" i="6"/>
  <c r="F27" i="6"/>
  <c r="G27" i="6"/>
  <c r="H27" i="6"/>
  <c r="I27" i="6"/>
  <c r="B27" i="6"/>
  <c r="C26" i="6"/>
  <c r="D26" i="6"/>
  <c r="E26" i="6"/>
  <c r="F26" i="6"/>
  <c r="G26" i="6"/>
  <c r="H26" i="6"/>
  <c r="I26" i="6"/>
  <c r="B26" i="6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6" i="4"/>
  <c r="P5" i="4"/>
  <c r="L5" i="4"/>
  <c r="D6" i="2"/>
  <c r="D5" i="2"/>
  <c r="D4" i="2"/>
  <c r="D8" i="2" l="1"/>
  <c r="D7" i="2"/>
</calcChain>
</file>

<file path=xl/sharedStrings.xml><?xml version="1.0" encoding="utf-8"?>
<sst xmlns="http://schemas.openxmlformats.org/spreadsheetml/2006/main" count="41" uniqueCount="21">
  <si>
    <t>SCR</t>
  </si>
  <si>
    <t>Embryo weight</t>
  </si>
  <si>
    <t>Seed coat weight</t>
  </si>
  <si>
    <t>Average</t>
  </si>
  <si>
    <t>UT</t>
  </si>
  <si>
    <t>Seed no.</t>
  </si>
  <si>
    <t>MS</t>
  </si>
  <si>
    <t>16/02/2023</t>
  </si>
  <si>
    <t>17/02/2023</t>
  </si>
  <si>
    <t>Ger</t>
  </si>
  <si>
    <t>Start</t>
  </si>
  <si>
    <t>25 seeds</t>
  </si>
  <si>
    <t>Rep</t>
  </si>
  <si>
    <t>16/2/2023</t>
  </si>
  <si>
    <t>Vigna radiata var sublobata</t>
  </si>
  <si>
    <t>NI1607</t>
  </si>
  <si>
    <t>20/02/2023</t>
  </si>
  <si>
    <t>21/02/2023</t>
  </si>
  <si>
    <t>22/02/2023</t>
  </si>
  <si>
    <t>24/02/2023</t>
  </si>
  <si>
    <t>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</si>
</sst>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20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Sheet3!$K$26</c:f>
              <c:strCache>
                <c:ptCount val="1"/>
                <c:pt idx="0">
                  <c:v>NT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Sheet3!$L$26:$T$26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4.2360036119711042</c:v>
                  </c:pt>
                  <c:pt idx="2">
                    <c:v>6.8675825593395263</c:v>
                  </c:pt>
                  <c:pt idx="3">
                    <c:v>8.9728457172342626</c:v>
                  </c:pt>
                  <c:pt idx="4">
                    <c:v>8.9728457172342626</c:v>
                  </c:pt>
                  <c:pt idx="5">
                    <c:v>8.9728457172342626</c:v>
                  </c:pt>
                  <c:pt idx="6">
                    <c:v>8.9728457172342626</c:v>
                  </c:pt>
                  <c:pt idx="7">
                    <c:v>8.9728457172342626</c:v>
                  </c:pt>
                  <c:pt idx="8">
                    <c:v>8.9728457172342626</c:v>
                  </c:pt>
                </c:numCache>
              </c:numRef>
            </c:plus>
            <c:minus>
              <c:numRef>
                <c:f>Sheet3!$L$26:$T$26</c:f>
                <c:numCache>
                  <c:formatCode>General</c:formatCode>
                  <c:ptCount val="9"/>
                  <c:pt idx="0">
                    <c:v>0</c:v>
                  </c:pt>
                  <c:pt idx="1">
                    <c:v>4.2360036119711042</c:v>
                  </c:pt>
                  <c:pt idx="2">
                    <c:v>6.8675825593395263</c:v>
                  </c:pt>
                  <c:pt idx="3">
                    <c:v>8.9728457172342626</c:v>
                  </c:pt>
                  <c:pt idx="4">
                    <c:v>8.9728457172342626</c:v>
                  </c:pt>
                  <c:pt idx="5">
                    <c:v>8.9728457172342626</c:v>
                  </c:pt>
                  <c:pt idx="6">
                    <c:v>8.9728457172342626</c:v>
                  </c:pt>
                  <c:pt idx="7">
                    <c:v>8.9728457172342626</c:v>
                  </c:pt>
                  <c:pt idx="8">
                    <c:v>8.9728457172342626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Sheet3!$L$25:$T$25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72</c:v>
                </c:pt>
                <c:pt idx="5">
                  <c:v>120</c:v>
                </c:pt>
                <c:pt idx="6">
                  <c:v>168</c:v>
                </c:pt>
                <c:pt idx="7">
                  <c:v>216</c:v>
                </c:pt>
                <c:pt idx="8">
                  <c:v>240</c:v>
                </c:pt>
              </c:numCache>
            </c:numRef>
          </c:xVal>
          <c:yVal>
            <c:numRef>
              <c:f>Sheet3!$L$26:$T$26</c:f>
              <c:numCache>
                <c:formatCode>General</c:formatCode>
                <c:ptCount val="9"/>
                <c:pt idx="0">
                  <c:v>0</c:v>
                </c:pt>
                <c:pt idx="1">
                  <c:v>4.2360036119711042</c:v>
                </c:pt>
                <c:pt idx="2">
                  <c:v>6.8675825593395263</c:v>
                </c:pt>
                <c:pt idx="3">
                  <c:v>8.9728457172342626</c:v>
                </c:pt>
                <c:pt idx="4">
                  <c:v>8.9728457172342626</c:v>
                </c:pt>
                <c:pt idx="5">
                  <c:v>8.9728457172342626</c:v>
                </c:pt>
                <c:pt idx="6">
                  <c:v>8.9728457172342626</c:v>
                </c:pt>
                <c:pt idx="7">
                  <c:v>8.9728457172342626</c:v>
                </c:pt>
                <c:pt idx="8">
                  <c:v>8.9728457172342626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57-4206-BF17-B8FA66036D02}"/>
            </c:ext>
          </c:extLst>
        </c:ser>
        <c:ser>
          <c:idx val="1"/>
          <c:order val="1"/>
          <c:tx>
            <c:strRef>
              <c:f>Sheet3!$K$27</c:f>
              <c:strCache>
                <c:ptCount val="1"/>
                <c:pt idx="0">
                  <c:v>MS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Sheet3!$L$33:$O$33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7.2578086231388559</c:v>
                  </c:pt>
                  <c:pt idx="2">
                    <c:v>6.2415214292395875</c:v>
                  </c:pt>
                  <c:pt idx="3">
                    <c:v>36.427488081453113</c:v>
                  </c:pt>
                </c:numCache>
              </c:numRef>
            </c:plus>
            <c:minus>
              <c:numRef>
                <c:f>Sheet3!$L$33:$O$33</c:f>
                <c:numCache>
                  <c:formatCode>General</c:formatCode>
                  <c:ptCount val="4"/>
                  <c:pt idx="0">
                    <c:v>0</c:v>
                  </c:pt>
                  <c:pt idx="1">
                    <c:v>7.2578086231388559</c:v>
                  </c:pt>
                  <c:pt idx="2">
                    <c:v>6.2415214292395875</c:v>
                  </c:pt>
                  <c:pt idx="3">
                    <c:v>36.427488081453113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Sheet3!$L$25:$T$25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24</c:v>
                </c:pt>
                <c:pt idx="4">
                  <c:v>72</c:v>
                </c:pt>
                <c:pt idx="5">
                  <c:v>120</c:v>
                </c:pt>
                <c:pt idx="6">
                  <c:v>168</c:v>
                </c:pt>
                <c:pt idx="7">
                  <c:v>216</c:v>
                </c:pt>
                <c:pt idx="8">
                  <c:v>240</c:v>
                </c:pt>
              </c:numCache>
            </c:numRef>
          </c:xVal>
          <c:yVal>
            <c:numRef>
              <c:f>Sheet3!$L$27:$T$27</c:f>
              <c:numCache>
                <c:formatCode>General</c:formatCode>
                <c:ptCount val="9"/>
                <c:pt idx="0">
                  <c:v>0</c:v>
                </c:pt>
                <c:pt idx="1">
                  <c:v>72.961274063054262</c:v>
                </c:pt>
                <c:pt idx="2">
                  <c:v>114.78671070501568</c:v>
                </c:pt>
                <c:pt idx="3">
                  <c:v>130.82310879694779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57-4206-BF17-B8FA66036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3022687"/>
        <c:axId val="1178572415"/>
      </c:scatterChart>
      <c:valAx>
        <c:axId val="1173022687"/>
        <c:scaling>
          <c:orientation val="minMax"/>
          <c:max val="250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8572415"/>
        <c:crosses val="autoZero"/>
        <c:crossBetween val="midCat"/>
        <c:majorUnit val="48"/>
      </c:valAx>
      <c:valAx>
        <c:axId val="117857241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Mass Increase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3022687"/>
        <c:crosses val="autoZero"/>
        <c:crossBetween val="midCat"/>
        <c:majorUnit val="4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15875</xdr:colOff>
      <xdr:row>33</xdr:row>
      <xdr:rowOff>22225</xdr:rowOff>
    </xdr:from>
    <xdr:to>
      <xdr:col>16</xdr:col>
      <xdr:colOff>320675</xdr:colOff>
      <xdr:row>48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D57BF1-1038-BA4E-CD0A-B4A09BE33B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70579-F3F6-47B5-8033-07DCC662EB58}">
  <dimension ref="A1:P48"/>
  <sheetViews>
    <sheetView workbookViewId="0">
      <selection activeCell="F10" sqref="F10"/>
    </sheetView>
  </sheetViews>
  <sheetFormatPr defaultRowHeight="14.5" x14ac:dyDescent="0.35"/>
  <cols>
    <col min="6" max="6" width="10.81640625" bestFit="1" customWidth="1"/>
    <col min="7" max="7" width="10.81640625" customWidth="1"/>
    <col min="8" max="9" width="11.54296875" customWidth="1"/>
  </cols>
  <sheetData>
    <row r="1" spans="1:16" x14ac:dyDescent="0.35">
      <c r="A1" t="s">
        <v>14</v>
      </c>
    </row>
    <row r="2" spans="1:16" x14ac:dyDescent="0.35">
      <c r="B2" t="s">
        <v>4</v>
      </c>
      <c r="D2">
        <v>26428</v>
      </c>
      <c r="F2">
        <v>1996149559</v>
      </c>
      <c r="H2" t="s">
        <v>15</v>
      </c>
    </row>
    <row r="3" spans="1:16" x14ac:dyDescent="0.35">
      <c r="B3" s="7" t="s">
        <v>7</v>
      </c>
      <c r="C3" s="7"/>
      <c r="D3" s="8"/>
      <c r="E3" s="8"/>
      <c r="F3" s="8"/>
      <c r="G3" s="5"/>
      <c r="H3" s="1" t="s">
        <v>8</v>
      </c>
      <c r="I3" s="1"/>
      <c r="J3" t="s">
        <v>16</v>
      </c>
      <c r="L3" t="s">
        <v>17</v>
      </c>
      <c r="N3" t="s">
        <v>18</v>
      </c>
      <c r="P3" t="s">
        <v>19</v>
      </c>
    </row>
    <row r="4" spans="1:16" x14ac:dyDescent="0.35">
      <c r="A4" t="s">
        <v>5</v>
      </c>
      <c r="B4" s="2">
        <v>0.34722222222222227</v>
      </c>
      <c r="C4" s="2"/>
      <c r="D4" s="2">
        <v>0.47222222222222227</v>
      </c>
      <c r="E4" s="2"/>
      <c r="F4" s="2">
        <v>0.59722222222222221</v>
      </c>
      <c r="G4" s="2"/>
      <c r="H4" s="2">
        <v>0.34722222222222227</v>
      </c>
      <c r="I4" s="2"/>
      <c r="J4" s="2">
        <v>0.34722222222222227</v>
      </c>
      <c r="K4" s="2"/>
      <c r="L4" s="2">
        <v>0.34722222222222227</v>
      </c>
      <c r="M4" s="2"/>
    </row>
    <row r="5" spans="1:16" x14ac:dyDescent="0.35">
      <c r="A5">
        <v>1</v>
      </c>
      <c r="B5">
        <v>2.4E-2</v>
      </c>
      <c r="D5">
        <v>2.5000000000000001E-2</v>
      </c>
      <c r="F5">
        <v>2.5000000000000001E-2</v>
      </c>
      <c r="H5">
        <v>2.5000000000000001E-2</v>
      </c>
      <c r="J5">
        <v>2.5000000000000001E-2</v>
      </c>
      <c r="L5">
        <v>2.5000000000000001E-2</v>
      </c>
      <c r="N5">
        <v>2.5000000000000001E-2</v>
      </c>
      <c r="P5">
        <v>2.5000000000000001E-2</v>
      </c>
    </row>
    <row r="6" spans="1:16" x14ac:dyDescent="0.35">
      <c r="A6">
        <v>2</v>
      </c>
      <c r="B6">
        <v>1.7000000000000001E-2</v>
      </c>
      <c r="D6">
        <v>1.7000000000000001E-2</v>
      </c>
      <c r="F6">
        <v>1.7000000000000001E-2</v>
      </c>
      <c r="H6">
        <v>1.7000000000000001E-2</v>
      </c>
      <c r="J6">
        <v>1.7000000000000001E-2</v>
      </c>
      <c r="L6">
        <v>1.7000000000000001E-2</v>
      </c>
      <c r="N6">
        <v>1.7000000000000001E-2</v>
      </c>
      <c r="P6">
        <v>1.7000000000000001E-2</v>
      </c>
    </row>
    <row r="7" spans="1:16" x14ac:dyDescent="0.35">
      <c r="A7">
        <v>3</v>
      </c>
      <c r="B7">
        <v>0.02</v>
      </c>
      <c r="D7">
        <v>0.02</v>
      </c>
      <c r="F7">
        <v>0.02</v>
      </c>
      <c r="H7">
        <v>0.02</v>
      </c>
      <c r="J7">
        <v>0.02</v>
      </c>
      <c r="L7">
        <v>0.02</v>
      </c>
      <c r="N7">
        <v>0.02</v>
      </c>
      <c r="P7">
        <v>0.02</v>
      </c>
    </row>
    <row r="8" spans="1:16" x14ac:dyDescent="0.35">
      <c r="A8">
        <v>4</v>
      </c>
      <c r="B8">
        <v>1.7000000000000001E-2</v>
      </c>
      <c r="D8">
        <v>1.7000000000000001E-2</v>
      </c>
      <c r="F8">
        <v>1.7000000000000001E-2</v>
      </c>
      <c r="H8">
        <v>1.7000000000000001E-2</v>
      </c>
      <c r="J8">
        <v>1.7000000000000001E-2</v>
      </c>
      <c r="L8">
        <v>1.7000000000000001E-2</v>
      </c>
      <c r="N8">
        <v>1.7000000000000001E-2</v>
      </c>
      <c r="P8">
        <v>1.7000000000000001E-2</v>
      </c>
    </row>
    <row r="9" spans="1:16" x14ac:dyDescent="0.35">
      <c r="A9">
        <v>5</v>
      </c>
      <c r="B9">
        <v>1.9E-2</v>
      </c>
      <c r="D9">
        <v>3.2000000000000001E-2</v>
      </c>
      <c r="F9">
        <v>4.2000000000000003E-2</v>
      </c>
      <c r="H9" s="4">
        <v>0.05</v>
      </c>
      <c r="I9" s="4"/>
    </row>
    <row r="10" spans="1:16" x14ac:dyDescent="0.35">
      <c r="A10">
        <v>6</v>
      </c>
      <c r="B10">
        <v>1.7000000000000001E-2</v>
      </c>
      <c r="D10">
        <v>1.7000000000000001E-2</v>
      </c>
      <c r="F10">
        <v>1.7000000000000001E-2</v>
      </c>
      <c r="H10">
        <v>1.7000000000000001E-2</v>
      </c>
      <c r="J10">
        <v>1.7000000000000001E-2</v>
      </c>
      <c r="L10">
        <v>1.7000000000000001E-2</v>
      </c>
      <c r="N10">
        <v>1.7000000000000001E-2</v>
      </c>
      <c r="P10">
        <v>1.7000000000000001E-2</v>
      </c>
    </row>
    <row r="11" spans="1:16" x14ac:dyDescent="0.35">
      <c r="A11">
        <v>7</v>
      </c>
      <c r="B11">
        <v>1.4999999999999999E-2</v>
      </c>
      <c r="D11">
        <v>1.4999999999999999E-2</v>
      </c>
      <c r="F11">
        <v>1.4999999999999999E-2</v>
      </c>
      <c r="H11">
        <v>1.4999999999999999E-2</v>
      </c>
      <c r="J11">
        <v>1.4999999999999999E-2</v>
      </c>
      <c r="L11">
        <v>1.4999999999999999E-2</v>
      </c>
      <c r="N11">
        <v>1.4999999999999999E-2</v>
      </c>
      <c r="P11">
        <v>1.4999999999999999E-2</v>
      </c>
    </row>
    <row r="12" spans="1:16" x14ac:dyDescent="0.35">
      <c r="A12">
        <v>8</v>
      </c>
      <c r="B12">
        <v>1.9E-2</v>
      </c>
      <c r="D12">
        <v>1.9E-2</v>
      </c>
      <c r="F12">
        <v>1.9E-2</v>
      </c>
      <c r="H12">
        <v>1.9E-2</v>
      </c>
      <c r="J12">
        <v>1.9E-2</v>
      </c>
      <c r="L12">
        <v>1.9E-2</v>
      </c>
      <c r="N12">
        <v>1.9E-2</v>
      </c>
      <c r="P12">
        <v>1.9E-2</v>
      </c>
    </row>
    <row r="13" spans="1:16" x14ac:dyDescent="0.35">
      <c r="A13">
        <v>9</v>
      </c>
      <c r="B13">
        <v>2.1999999999999999E-2</v>
      </c>
      <c r="D13">
        <v>2.1999999999999999E-2</v>
      </c>
      <c r="F13">
        <v>2.1999999999999999E-2</v>
      </c>
      <c r="H13">
        <v>2.1999999999999999E-2</v>
      </c>
      <c r="J13">
        <v>2.1999999999999999E-2</v>
      </c>
      <c r="L13">
        <v>2.1999999999999999E-2</v>
      </c>
      <c r="N13">
        <v>2.1999999999999999E-2</v>
      </c>
      <c r="P13">
        <v>2.1999999999999999E-2</v>
      </c>
    </row>
    <row r="14" spans="1:16" x14ac:dyDescent="0.35">
      <c r="A14">
        <v>10</v>
      </c>
      <c r="B14">
        <v>1.4E-2</v>
      </c>
      <c r="D14">
        <v>1.4E-2</v>
      </c>
      <c r="F14">
        <v>1.4E-2</v>
      </c>
      <c r="H14">
        <v>1.4E-2</v>
      </c>
      <c r="J14">
        <v>1.4E-2</v>
      </c>
      <c r="L14">
        <v>1.4E-2</v>
      </c>
      <c r="N14">
        <v>1.4E-2</v>
      </c>
      <c r="P14">
        <v>1.4E-2</v>
      </c>
    </row>
    <row r="15" spans="1:16" x14ac:dyDescent="0.35">
      <c r="A15">
        <v>11</v>
      </c>
      <c r="B15">
        <v>1.7000000000000001E-2</v>
      </c>
      <c r="D15">
        <v>1.7000000000000001E-2</v>
      </c>
      <c r="F15">
        <v>1.7000000000000001E-2</v>
      </c>
      <c r="H15">
        <v>1.7000000000000001E-2</v>
      </c>
      <c r="J15">
        <v>1.7000000000000001E-2</v>
      </c>
      <c r="L15">
        <v>1.7000000000000001E-2</v>
      </c>
      <c r="N15">
        <v>1.7000000000000001E-2</v>
      </c>
      <c r="P15">
        <v>1.7000000000000001E-2</v>
      </c>
    </row>
    <row r="16" spans="1:16" x14ac:dyDescent="0.35">
      <c r="A16">
        <v>12</v>
      </c>
      <c r="B16">
        <v>2.1000000000000001E-2</v>
      </c>
      <c r="D16">
        <v>2.1000000000000001E-2</v>
      </c>
      <c r="F16">
        <v>2.1000000000000001E-2</v>
      </c>
      <c r="H16">
        <v>2.1000000000000001E-2</v>
      </c>
      <c r="J16">
        <v>2.1000000000000001E-2</v>
      </c>
      <c r="L16">
        <v>2.1000000000000001E-2</v>
      </c>
      <c r="N16">
        <v>2.1000000000000001E-2</v>
      </c>
      <c r="P16">
        <v>2.1000000000000001E-2</v>
      </c>
    </row>
    <row r="17" spans="1:16" x14ac:dyDescent="0.35">
      <c r="A17">
        <v>13</v>
      </c>
      <c r="B17">
        <v>1.4999999999999999E-2</v>
      </c>
      <c r="D17">
        <v>1.4999999999999999E-2</v>
      </c>
      <c r="F17">
        <v>1.4999999999999999E-2</v>
      </c>
      <c r="H17">
        <v>1.4999999999999999E-2</v>
      </c>
      <c r="J17">
        <v>1.4999999999999999E-2</v>
      </c>
      <c r="L17">
        <v>1.4999999999999999E-2</v>
      </c>
      <c r="N17">
        <v>1.4999999999999999E-2</v>
      </c>
      <c r="P17">
        <v>1.4999999999999999E-2</v>
      </c>
    </row>
    <row r="18" spans="1:16" x14ac:dyDescent="0.35">
      <c r="A18">
        <v>14</v>
      </c>
      <c r="B18">
        <v>1.6E-2</v>
      </c>
      <c r="D18">
        <v>1.6E-2</v>
      </c>
      <c r="F18">
        <v>1.6E-2</v>
      </c>
      <c r="H18">
        <v>1.6E-2</v>
      </c>
      <c r="J18">
        <v>1.6E-2</v>
      </c>
      <c r="L18">
        <v>1.6E-2</v>
      </c>
      <c r="N18">
        <v>1.6E-2</v>
      </c>
      <c r="P18">
        <v>1.6E-2</v>
      </c>
    </row>
    <row r="19" spans="1:16" x14ac:dyDescent="0.35">
      <c r="A19">
        <v>15</v>
      </c>
      <c r="B19">
        <v>2.1999999999999999E-2</v>
      </c>
      <c r="D19">
        <v>2.1999999999999999E-2</v>
      </c>
      <c r="F19">
        <v>2.1999999999999999E-2</v>
      </c>
      <c r="H19">
        <v>2.1999999999999999E-2</v>
      </c>
      <c r="J19">
        <v>2.1999999999999999E-2</v>
      </c>
      <c r="L19">
        <v>2.1999999999999999E-2</v>
      </c>
      <c r="N19">
        <v>2.1999999999999999E-2</v>
      </c>
      <c r="P19">
        <v>2.1999999999999999E-2</v>
      </c>
    </row>
    <row r="20" spans="1:16" x14ac:dyDescent="0.35">
      <c r="A20">
        <v>16</v>
      </c>
      <c r="B20">
        <v>1.6E-2</v>
      </c>
      <c r="D20">
        <v>1.7000000000000001E-2</v>
      </c>
      <c r="F20">
        <v>1.7000000000000001E-2</v>
      </c>
      <c r="H20">
        <v>1.7000000000000001E-2</v>
      </c>
      <c r="J20">
        <v>1.7000000000000001E-2</v>
      </c>
      <c r="L20">
        <v>1.7000000000000001E-2</v>
      </c>
      <c r="N20">
        <v>1.7000000000000001E-2</v>
      </c>
      <c r="P20">
        <v>1.7000000000000001E-2</v>
      </c>
    </row>
    <row r="21" spans="1:16" x14ac:dyDescent="0.35">
      <c r="A21">
        <v>17</v>
      </c>
      <c r="B21">
        <v>1.7000000000000001E-2</v>
      </c>
      <c r="D21">
        <v>1.7999999999999999E-2</v>
      </c>
      <c r="F21">
        <v>1.7999999999999999E-2</v>
      </c>
      <c r="H21">
        <v>1.7999999999999999E-2</v>
      </c>
      <c r="J21">
        <v>1.7999999999999999E-2</v>
      </c>
      <c r="L21">
        <v>1.7999999999999999E-2</v>
      </c>
      <c r="N21">
        <v>1.7999999999999999E-2</v>
      </c>
      <c r="P21">
        <v>1.7999999999999999E-2</v>
      </c>
    </row>
    <row r="22" spans="1:16" x14ac:dyDescent="0.35">
      <c r="A22">
        <v>18</v>
      </c>
      <c r="B22">
        <v>1.6E-2</v>
      </c>
      <c r="D22">
        <v>1.6E-2</v>
      </c>
      <c r="F22">
        <v>1.6E-2</v>
      </c>
      <c r="H22">
        <v>1.6E-2</v>
      </c>
      <c r="J22">
        <v>1.6E-2</v>
      </c>
      <c r="L22">
        <v>1.6E-2</v>
      </c>
      <c r="N22">
        <v>1.6E-2</v>
      </c>
      <c r="P22">
        <v>1.6E-2</v>
      </c>
    </row>
    <row r="23" spans="1:16" x14ac:dyDescent="0.35">
      <c r="A23">
        <v>19</v>
      </c>
      <c r="B23">
        <v>1.7000000000000001E-2</v>
      </c>
      <c r="D23">
        <v>1.7000000000000001E-2</v>
      </c>
      <c r="F23">
        <v>1.7000000000000001E-2</v>
      </c>
      <c r="H23">
        <v>1.7000000000000001E-2</v>
      </c>
      <c r="J23">
        <v>1.7000000000000001E-2</v>
      </c>
      <c r="L23">
        <v>1.7000000000000001E-2</v>
      </c>
      <c r="N23">
        <v>1.7000000000000001E-2</v>
      </c>
      <c r="P23">
        <v>1.7000000000000001E-2</v>
      </c>
    </row>
    <row r="24" spans="1:16" x14ac:dyDescent="0.35">
      <c r="A24">
        <v>20</v>
      </c>
      <c r="B24">
        <v>1.9E-2</v>
      </c>
      <c r="D24">
        <v>1.9E-2</v>
      </c>
      <c r="F24">
        <v>1.9E-2</v>
      </c>
      <c r="H24">
        <v>1.9E-2</v>
      </c>
      <c r="J24">
        <v>1.9E-2</v>
      </c>
      <c r="L24">
        <v>1.9E-2</v>
      </c>
      <c r="N24">
        <v>1.9E-2</v>
      </c>
      <c r="P24">
        <v>1.9E-2</v>
      </c>
    </row>
    <row r="26" spans="1:16" x14ac:dyDescent="0.35">
      <c r="B26" t="s">
        <v>6</v>
      </c>
    </row>
    <row r="27" spans="1:16" x14ac:dyDescent="0.35">
      <c r="B27" s="7" t="s">
        <v>7</v>
      </c>
      <c r="C27" s="7"/>
      <c r="D27" s="8"/>
      <c r="E27" s="8"/>
      <c r="F27" s="8"/>
      <c r="G27" s="5"/>
      <c r="H27" s="1"/>
      <c r="I27" s="1"/>
    </row>
    <row r="28" spans="1:16" x14ac:dyDescent="0.35">
      <c r="A28" t="s">
        <v>5</v>
      </c>
      <c r="B28" s="2"/>
      <c r="C28" s="2"/>
      <c r="D28" s="2"/>
      <c r="E28" s="2"/>
      <c r="F28" s="2"/>
      <c r="G28" s="2"/>
      <c r="H28" s="2"/>
      <c r="I28" s="2"/>
    </row>
    <row r="29" spans="1:16" x14ac:dyDescent="0.35">
      <c r="A29">
        <v>1</v>
      </c>
      <c r="B29">
        <v>2.1999999999999999E-2</v>
      </c>
      <c r="D29">
        <v>3.3000000000000002E-2</v>
      </c>
      <c r="F29" s="4">
        <v>4.3999999999999997E-2</v>
      </c>
      <c r="G29" s="4"/>
    </row>
    <row r="30" spans="1:16" x14ac:dyDescent="0.35">
      <c r="A30">
        <v>2</v>
      </c>
      <c r="B30">
        <v>0.02</v>
      </c>
      <c r="D30">
        <v>3.5000000000000003E-2</v>
      </c>
      <c r="F30">
        <v>4.5999999999999999E-2</v>
      </c>
      <c r="H30" s="4">
        <v>0.06</v>
      </c>
      <c r="I30" s="4"/>
    </row>
    <row r="31" spans="1:16" x14ac:dyDescent="0.35">
      <c r="A31">
        <v>3</v>
      </c>
      <c r="B31">
        <v>1.7999999999999999E-2</v>
      </c>
      <c r="D31">
        <v>3.2000000000000001E-2</v>
      </c>
      <c r="F31">
        <v>4.1000000000000002E-2</v>
      </c>
      <c r="H31" s="4">
        <v>4.5999999999999999E-2</v>
      </c>
      <c r="I31" s="4"/>
    </row>
    <row r="32" spans="1:16" x14ac:dyDescent="0.35">
      <c r="A32">
        <v>4</v>
      </c>
      <c r="B32">
        <v>0.02</v>
      </c>
      <c r="D32">
        <v>4.1000000000000002E-2</v>
      </c>
      <c r="F32">
        <v>4.7E-2</v>
      </c>
      <c r="H32" s="4">
        <v>5.8000000000000003E-2</v>
      </c>
      <c r="I32" s="4"/>
    </row>
    <row r="33" spans="1:9" x14ac:dyDescent="0.35">
      <c r="A33">
        <v>5</v>
      </c>
      <c r="B33">
        <v>1.7999999999999999E-2</v>
      </c>
      <c r="D33">
        <v>0.03</v>
      </c>
      <c r="F33">
        <v>3.7999999999999999E-2</v>
      </c>
      <c r="H33" s="4">
        <v>5.1999999999999998E-2</v>
      </c>
      <c r="I33" s="4"/>
    </row>
    <row r="34" spans="1:9" x14ac:dyDescent="0.35">
      <c r="A34">
        <v>6</v>
      </c>
      <c r="B34">
        <v>2.5000000000000001E-2</v>
      </c>
      <c r="D34">
        <v>0.04</v>
      </c>
      <c r="F34">
        <v>5.1999999999999998E-2</v>
      </c>
      <c r="H34" s="4">
        <v>5.7000000000000002E-2</v>
      </c>
      <c r="I34" s="4"/>
    </row>
    <row r="35" spans="1:9" x14ac:dyDescent="0.35">
      <c r="A35">
        <v>7</v>
      </c>
      <c r="B35">
        <v>0.02</v>
      </c>
      <c r="D35">
        <v>3.1E-2</v>
      </c>
      <c r="F35">
        <v>4.2000000000000003E-2</v>
      </c>
      <c r="H35" s="4">
        <v>0.05</v>
      </c>
      <c r="I35" s="4"/>
    </row>
    <row r="36" spans="1:9" x14ac:dyDescent="0.35">
      <c r="A36">
        <v>8</v>
      </c>
      <c r="B36">
        <v>1.6E-2</v>
      </c>
      <c r="D36">
        <v>3.5000000000000003E-2</v>
      </c>
      <c r="F36">
        <v>3.5999999999999997E-2</v>
      </c>
      <c r="H36" s="4">
        <v>4.2999999999999997E-2</v>
      </c>
      <c r="I36" s="4"/>
    </row>
    <row r="37" spans="1:9" x14ac:dyDescent="0.35">
      <c r="A37">
        <v>9</v>
      </c>
      <c r="B37">
        <v>1.9E-2</v>
      </c>
      <c r="D37">
        <v>0.03</v>
      </c>
      <c r="F37">
        <v>0.04</v>
      </c>
      <c r="H37" s="4">
        <v>4.9000000000000002E-2</v>
      </c>
      <c r="I37" s="4"/>
    </row>
    <row r="38" spans="1:9" x14ac:dyDescent="0.35">
      <c r="A38">
        <v>10</v>
      </c>
      <c r="B38">
        <v>1.7000000000000001E-2</v>
      </c>
      <c r="D38">
        <v>2.7E-2</v>
      </c>
      <c r="F38">
        <v>3.4000000000000002E-2</v>
      </c>
      <c r="H38" s="4">
        <v>3.7999999999999999E-2</v>
      </c>
      <c r="I38" s="4"/>
    </row>
    <row r="39" spans="1:9" x14ac:dyDescent="0.35">
      <c r="A39">
        <v>11</v>
      </c>
      <c r="B39">
        <v>1.7000000000000001E-2</v>
      </c>
      <c r="D39">
        <v>2.9000000000000001E-2</v>
      </c>
      <c r="F39">
        <v>3.5999999999999997E-2</v>
      </c>
      <c r="H39" s="4">
        <v>3.9E-2</v>
      </c>
      <c r="I39" s="4"/>
    </row>
    <row r="40" spans="1:9" x14ac:dyDescent="0.35">
      <c r="A40">
        <v>12</v>
      </c>
      <c r="B40">
        <v>2.1999999999999999E-2</v>
      </c>
      <c r="D40">
        <v>3.6999999999999998E-2</v>
      </c>
      <c r="F40">
        <v>4.9000000000000002E-2</v>
      </c>
      <c r="H40" s="4">
        <v>5.8999999999999997E-2</v>
      </c>
      <c r="I40" s="4"/>
    </row>
    <row r="41" spans="1:9" x14ac:dyDescent="0.35">
      <c r="A41">
        <v>13</v>
      </c>
      <c r="B41">
        <v>1.7000000000000001E-2</v>
      </c>
      <c r="D41">
        <v>2.9000000000000001E-2</v>
      </c>
      <c r="F41">
        <v>3.5999999999999997E-2</v>
      </c>
      <c r="H41" s="4">
        <v>4.5999999999999999E-2</v>
      </c>
      <c r="I41" s="4"/>
    </row>
    <row r="42" spans="1:9" x14ac:dyDescent="0.35">
      <c r="A42">
        <v>14</v>
      </c>
      <c r="B42">
        <v>1.6E-2</v>
      </c>
      <c r="D42">
        <v>2.7E-2</v>
      </c>
      <c r="F42">
        <v>3.1E-2</v>
      </c>
      <c r="H42" s="4">
        <v>4.2000000000000003E-2</v>
      </c>
      <c r="I42" s="4"/>
    </row>
    <row r="43" spans="1:9" x14ac:dyDescent="0.35">
      <c r="A43">
        <v>15</v>
      </c>
      <c r="B43">
        <v>1.4999999999999999E-2</v>
      </c>
      <c r="D43">
        <v>2.5999999999999999E-2</v>
      </c>
      <c r="F43">
        <v>3.2000000000000001E-2</v>
      </c>
      <c r="H43" s="4">
        <v>3.5999999999999997E-2</v>
      </c>
      <c r="I43" s="4"/>
    </row>
    <row r="44" spans="1:9" x14ac:dyDescent="0.35">
      <c r="A44">
        <v>16</v>
      </c>
      <c r="B44">
        <v>2.1000000000000001E-2</v>
      </c>
      <c r="D44">
        <v>3.9E-2</v>
      </c>
      <c r="F44" s="4">
        <v>4.5999999999999999E-2</v>
      </c>
      <c r="G44" s="4"/>
    </row>
    <row r="45" spans="1:9" x14ac:dyDescent="0.35">
      <c r="A45">
        <v>17</v>
      </c>
      <c r="B45">
        <v>1.7000000000000001E-2</v>
      </c>
      <c r="D45">
        <v>2.7E-2</v>
      </c>
      <c r="F45">
        <v>3.5999999999999997E-2</v>
      </c>
      <c r="H45" s="4">
        <v>3.9E-2</v>
      </c>
      <c r="I45" s="4"/>
    </row>
    <row r="46" spans="1:9" x14ac:dyDescent="0.35">
      <c r="A46">
        <v>18</v>
      </c>
      <c r="B46">
        <v>1.6E-2</v>
      </c>
      <c r="D46">
        <v>2.8000000000000001E-2</v>
      </c>
      <c r="F46">
        <v>3.7999999999999999E-2</v>
      </c>
      <c r="H46" s="4">
        <v>4.7E-2</v>
      </c>
      <c r="I46" s="4"/>
    </row>
    <row r="47" spans="1:9" x14ac:dyDescent="0.35">
      <c r="A47">
        <v>19</v>
      </c>
      <c r="B47">
        <v>1.7999999999999999E-2</v>
      </c>
      <c r="D47">
        <v>3.3000000000000002E-2</v>
      </c>
      <c r="F47" s="4">
        <v>3.3000000000000002E-2</v>
      </c>
      <c r="G47" s="4"/>
    </row>
    <row r="48" spans="1:9" x14ac:dyDescent="0.35">
      <c r="A48">
        <v>20</v>
      </c>
      <c r="B48">
        <v>1.4999999999999999E-2</v>
      </c>
      <c r="D48">
        <v>2.7E-2</v>
      </c>
      <c r="F48">
        <v>3.5000000000000003E-2</v>
      </c>
      <c r="H48" s="4">
        <v>3.9E-2</v>
      </c>
      <c r="I48" s="4"/>
    </row>
  </sheetData>
  <mergeCells count="2">
    <mergeCell ref="B3:F3"/>
    <mergeCell ref="B27:F2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8F15D-A4F7-445B-AD2C-868FC82F5582}">
  <dimension ref="A1:Q47"/>
  <sheetViews>
    <sheetView workbookViewId="0">
      <selection activeCell="E12" sqref="E12"/>
    </sheetView>
  </sheetViews>
  <sheetFormatPr defaultRowHeight="14.5" x14ac:dyDescent="0.35"/>
  <cols>
    <col min="6" max="6" width="10.81640625" bestFit="1" customWidth="1"/>
    <col min="7" max="7" width="10.81640625" customWidth="1"/>
    <col min="8" max="9" width="11.54296875" customWidth="1"/>
  </cols>
  <sheetData>
    <row r="1" spans="1:17" x14ac:dyDescent="0.35">
      <c r="A1" t="s">
        <v>14</v>
      </c>
    </row>
    <row r="2" spans="1:17" x14ac:dyDescent="0.35">
      <c r="B2" t="s">
        <v>4</v>
      </c>
      <c r="D2">
        <v>26428</v>
      </c>
      <c r="F2">
        <v>1996149559</v>
      </c>
      <c r="H2" t="s">
        <v>15</v>
      </c>
    </row>
    <row r="3" spans="1:17" x14ac:dyDescent="0.35">
      <c r="B3" s="7" t="s">
        <v>7</v>
      </c>
      <c r="C3" s="7"/>
      <c r="D3" s="8"/>
      <c r="E3" s="8"/>
      <c r="F3" s="8"/>
      <c r="G3" s="5"/>
      <c r="H3" s="1" t="s">
        <v>8</v>
      </c>
      <c r="I3" s="1"/>
      <c r="J3" t="s">
        <v>16</v>
      </c>
      <c r="L3" t="s">
        <v>17</v>
      </c>
      <c r="N3" t="s">
        <v>18</v>
      </c>
      <c r="P3" t="s">
        <v>19</v>
      </c>
    </row>
    <row r="4" spans="1:17" x14ac:dyDescent="0.35">
      <c r="A4" t="s">
        <v>5</v>
      </c>
      <c r="B4" s="2">
        <v>0</v>
      </c>
      <c r="C4" s="2"/>
      <c r="D4" s="2">
        <v>0.47222222222222227</v>
      </c>
      <c r="E4" s="2"/>
      <c r="F4" s="2">
        <v>0.59722222222222221</v>
      </c>
      <c r="G4" s="2"/>
      <c r="H4" s="2">
        <v>0.34722222222222227</v>
      </c>
      <c r="I4" s="2"/>
      <c r="J4" s="2">
        <v>0.34722222222222227</v>
      </c>
      <c r="K4" s="2"/>
      <c r="L4" s="2">
        <v>0.34722222222222227</v>
      </c>
      <c r="M4" s="2"/>
    </row>
    <row r="5" spans="1:17" x14ac:dyDescent="0.35">
      <c r="B5">
        <v>0</v>
      </c>
      <c r="D5">
        <v>3</v>
      </c>
      <c r="F5">
        <v>6</v>
      </c>
      <c r="H5">
        <v>24</v>
      </c>
      <c r="J5">
        <v>72</v>
      </c>
      <c r="L5">
        <f>J5+48</f>
        <v>120</v>
      </c>
      <c r="N5">
        <v>168</v>
      </c>
      <c r="P5">
        <f>168+48</f>
        <v>216</v>
      </c>
    </row>
    <row r="6" spans="1:17" x14ac:dyDescent="0.35">
      <c r="A6">
        <v>1</v>
      </c>
      <c r="B6">
        <v>2.4E-2</v>
      </c>
      <c r="C6">
        <f>(B6-B6)/B6 * 100</f>
        <v>0</v>
      </c>
      <c r="D6">
        <v>2.5000000000000001E-2</v>
      </c>
      <c r="E6">
        <f>(D6-B6)/B6 * 100</f>
        <v>4.1666666666666705</v>
      </c>
      <c r="F6">
        <v>2.5000000000000001E-2</v>
      </c>
      <c r="G6">
        <f>(F6-B6)/B6 * 100</f>
        <v>4.1666666666666705</v>
      </c>
      <c r="H6">
        <v>2.5000000000000001E-2</v>
      </c>
      <c r="I6">
        <f>(H6-B6)/B6 * 100</f>
        <v>4.1666666666666705</v>
      </c>
      <c r="J6">
        <v>2.5000000000000001E-2</v>
      </c>
      <c r="K6">
        <f>(J6-B6)/B6 * 100</f>
        <v>4.1666666666666705</v>
      </c>
      <c r="L6">
        <v>2.5000000000000001E-2</v>
      </c>
      <c r="M6">
        <f>(L6-B6)/B6 * 100</f>
        <v>4.1666666666666705</v>
      </c>
      <c r="N6">
        <v>2.5000000000000001E-2</v>
      </c>
      <c r="O6">
        <f>(N6-B6)/B6 * 100</f>
        <v>4.1666666666666705</v>
      </c>
      <c r="P6">
        <v>2.5000000000000001E-2</v>
      </c>
      <c r="Q6">
        <f>(P6-B6)/B6 * 100</f>
        <v>4.1666666666666705</v>
      </c>
    </row>
    <row r="7" spans="1:17" x14ac:dyDescent="0.35">
      <c r="A7">
        <v>2</v>
      </c>
      <c r="B7">
        <v>1.7000000000000001E-2</v>
      </c>
      <c r="C7">
        <f t="shared" ref="C7:C25" si="0">(B7-B7)/B7 * 100</f>
        <v>0</v>
      </c>
      <c r="D7">
        <v>1.7000000000000001E-2</v>
      </c>
      <c r="E7">
        <f t="shared" ref="E7:E25" si="1">(D7-B7)/B7 * 100</f>
        <v>0</v>
      </c>
      <c r="F7">
        <v>1.7000000000000001E-2</v>
      </c>
      <c r="G7">
        <f t="shared" ref="G7:G25" si="2">(F7-B7)/B7 * 100</f>
        <v>0</v>
      </c>
      <c r="H7">
        <v>1.7000000000000001E-2</v>
      </c>
      <c r="I7">
        <f t="shared" ref="I7:I25" si="3">(H7-B7)/B7 * 100</f>
        <v>0</v>
      </c>
      <c r="J7">
        <v>1.7000000000000001E-2</v>
      </c>
      <c r="K7">
        <f t="shared" ref="K7:K25" si="4">(J7-B7)/B7 * 100</f>
        <v>0</v>
      </c>
      <c r="L7">
        <v>1.7000000000000001E-2</v>
      </c>
      <c r="M7">
        <f t="shared" ref="M7:M25" si="5">(L7-B7)/B7 * 100</f>
        <v>0</v>
      </c>
      <c r="N7">
        <v>1.7000000000000001E-2</v>
      </c>
      <c r="O7">
        <f t="shared" ref="O7:O25" si="6">(N7-B7)/B7 * 100</f>
        <v>0</v>
      </c>
      <c r="P7">
        <v>1.7000000000000001E-2</v>
      </c>
      <c r="Q7">
        <f t="shared" ref="Q7:Q25" si="7">(P7-B7)/B7 * 100</f>
        <v>0</v>
      </c>
    </row>
    <row r="8" spans="1:17" x14ac:dyDescent="0.35">
      <c r="A8">
        <v>3</v>
      </c>
      <c r="B8">
        <v>0.02</v>
      </c>
      <c r="C8">
        <f t="shared" si="0"/>
        <v>0</v>
      </c>
      <c r="D8">
        <v>0.02</v>
      </c>
      <c r="E8">
        <f t="shared" si="1"/>
        <v>0</v>
      </c>
      <c r="F8">
        <v>0.02</v>
      </c>
      <c r="G8">
        <f t="shared" si="2"/>
        <v>0</v>
      </c>
      <c r="H8">
        <v>0.02</v>
      </c>
      <c r="I8">
        <f t="shared" si="3"/>
        <v>0</v>
      </c>
      <c r="J8">
        <v>0.02</v>
      </c>
      <c r="K8">
        <f t="shared" si="4"/>
        <v>0</v>
      </c>
      <c r="L8">
        <v>0.02</v>
      </c>
      <c r="M8">
        <f t="shared" si="5"/>
        <v>0</v>
      </c>
      <c r="N8">
        <v>0.02</v>
      </c>
      <c r="O8">
        <f t="shared" si="6"/>
        <v>0</v>
      </c>
      <c r="P8">
        <v>0.02</v>
      </c>
      <c r="Q8">
        <f t="shared" si="7"/>
        <v>0</v>
      </c>
    </row>
    <row r="9" spans="1:17" x14ac:dyDescent="0.35">
      <c r="A9">
        <v>4</v>
      </c>
      <c r="B9">
        <v>1.7000000000000001E-2</v>
      </c>
      <c r="C9">
        <f t="shared" si="0"/>
        <v>0</v>
      </c>
      <c r="D9">
        <v>1.7000000000000001E-2</v>
      </c>
      <c r="E9">
        <f t="shared" si="1"/>
        <v>0</v>
      </c>
      <c r="F9">
        <v>1.7000000000000001E-2</v>
      </c>
      <c r="G9">
        <f t="shared" si="2"/>
        <v>0</v>
      </c>
      <c r="H9">
        <v>1.7000000000000001E-2</v>
      </c>
      <c r="I9">
        <f t="shared" si="3"/>
        <v>0</v>
      </c>
      <c r="J9">
        <v>1.7000000000000001E-2</v>
      </c>
      <c r="K9">
        <f t="shared" si="4"/>
        <v>0</v>
      </c>
      <c r="L9">
        <v>1.7000000000000001E-2</v>
      </c>
      <c r="M9">
        <f t="shared" si="5"/>
        <v>0</v>
      </c>
      <c r="N9">
        <v>1.7000000000000001E-2</v>
      </c>
      <c r="O9">
        <f t="shared" si="6"/>
        <v>0</v>
      </c>
      <c r="P9">
        <v>1.7000000000000001E-2</v>
      </c>
      <c r="Q9">
        <f t="shared" si="7"/>
        <v>0</v>
      </c>
    </row>
    <row r="10" spans="1:17" x14ac:dyDescent="0.35">
      <c r="A10">
        <v>5</v>
      </c>
      <c r="B10">
        <v>1.9E-2</v>
      </c>
      <c r="C10">
        <f t="shared" si="0"/>
        <v>0</v>
      </c>
      <c r="D10">
        <v>3.2000000000000001E-2</v>
      </c>
      <c r="E10">
        <f t="shared" si="1"/>
        <v>68.421052631578959</v>
      </c>
      <c r="F10">
        <v>4.2000000000000003E-2</v>
      </c>
      <c r="G10">
        <f t="shared" si="2"/>
        <v>121.05263157894738</v>
      </c>
      <c r="H10" s="4">
        <v>0.05</v>
      </c>
      <c r="I10">
        <f t="shared" si="3"/>
        <v>163.15789473684214</v>
      </c>
      <c r="J10" s="4">
        <v>0.05</v>
      </c>
      <c r="K10">
        <f t="shared" si="4"/>
        <v>163.15789473684214</v>
      </c>
      <c r="L10" s="4">
        <v>0.05</v>
      </c>
      <c r="M10">
        <f t="shared" si="5"/>
        <v>163.15789473684214</v>
      </c>
      <c r="N10" s="4">
        <v>0.05</v>
      </c>
      <c r="O10">
        <f t="shared" si="6"/>
        <v>163.15789473684214</v>
      </c>
      <c r="P10" s="4">
        <v>0.05</v>
      </c>
      <c r="Q10">
        <f t="shared" si="7"/>
        <v>163.15789473684214</v>
      </c>
    </row>
    <row r="11" spans="1:17" x14ac:dyDescent="0.35">
      <c r="A11">
        <v>6</v>
      </c>
      <c r="B11">
        <v>1.7000000000000001E-2</v>
      </c>
      <c r="C11">
        <f t="shared" si="0"/>
        <v>0</v>
      </c>
      <c r="D11">
        <v>1.7000000000000001E-2</v>
      </c>
      <c r="E11">
        <f t="shared" si="1"/>
        <v>0</v>
      </c>
      <c r="F11">
        <v>1.7000000000000001E-2</v>
      </c>
      <c r="G11">
        <f t="shared" si="2"/>
        <v>0</v>
      </c>
      <c r="H11">
        <v>1.7000000000000001E-2</v>
      </c>
      <c r="I11">
        <f t="shared" si="3"/>
        <v>0</v>
      </c>
      <c r="J11">
        <v>1.7000000000000001E-2</v>
      </c>
      <c r="K11">
        <f t="shared" si="4"/>
        <v>0</v>
      </c>
      <c r="L11">
        <v>1.7000000000000001E-2</v>
      </c>
      <c r="M11">
        <f t="shared" si="5"/>
        <v>0</v>
      </c>
      <c r="N11">
        <v>1.7000000000000001E-2</v>
      </c>
      <c r="O11">
        <f t="shared" si="6"/>
        <v>0</v>
      </c>
      <c r="P11">
        <v>1.7000000000000001E-2</v>
      </c>
      <c r="Q11">
        <f t="shared" si="7"/>
        <v>0</v>
      </c>
    </row>
    <row r="12" spans="1:17" x14ac:dyDescent="0.35">
      <c r="A12">
        <v>7</v>
      </c>
      <c r="B12">
        <v>1.4999999999999999E-2</v>
      </c>
      <c r="C12">
        <f t="shared" si="0"/>
        <v>0</v>
      </c>
      <c r="D12">
        <v>1.4999999999999999E-2</v>
      </c>
      <c r="E12">
        <f t="shared" si="1"/>
        <v>0</v>
      </c>
      <c r="F12">
        <v>1.4999999999999999E-2</v>
      </c>
      <c r="G12">
        <f t="shared" si="2"/>
        <v>0</v>
      </c>
      <c r="H12">
        <v>1.4999999999999999E-2</v>
      </c>
      <c r="I12">
        <f t="shared" si="3"/>
        <v>0</v>
      </c>
      <c r="J12">
        <v>1.4999999999999999E-2</v>
      </c>
      <c r="K12">
        <f t="shared" si="4"/>
        <v>0</v>
      </c>
      <c r="L12">
        <v>1.4999999999999999E-2</v>
      </c>
      <c r="M12">
        <f t="shared" si="5"/>
        <v>0</v>
      </c>
      <c r="N12">
        <v>1.4999999999999999E-2</v>
      </c>
      <c r="O12">
        <f t="shared" si="6"/>
        <v>0</v>
      </c>
      <c r="P12">
        <v>1.4999999999999999E-2</v>
      </c>
      <c r="Q12">
        <f t="shared" si="7"/>
        <v>0</v>
      </c>
    </row>
    <row r="13" spans="1:17" x14ac:dyDescent="0.35">
      <c r="A13">
        <v>8</v>
      </c>
      <c r="B13">
        <v>1.9E-2</v>
      </c>
      <c r="C13">
        <f t="shared" si="0"/>
        <v>0</v>
      </c>
      <c r="D13">
        <v>1.9E-2</v>
      </c>
      <c r="E13">
        <f t="shared" si="1"/>
        <v>0</v>
      </c>
      <c r="F13">
        <v>1.9E-2</v>
      </c>
      <c r="G13">
        <f t="shared" si="2"/>
        <v>0</v>
      </c>
      <c r="H13">
        <v>1.9E-2</v>
      </c>
      <c r="I13">
        <f t="shared" si="3"/>
        <v>0</v>
      </c>
      <c r="J13">
        <v>1.9E-2</v>
      </c>
      <c r="K13">
        <f t="shared" si="4"/>
        <v>0</v>
      </c>
      <c r="L13">
        <v>1.9E-2</v>
      </c>
      <c r="M13">
        <f t="shared" si="5"/>
        <v>0</v>
      </c>
      <c r="N13">
        <v>1.9E-2</v>
      </c>
      <c r="O13">
        <f t="shared" si="6"/>
        <v>0</v>
      </c>
      <c r="P13">
        <v>1.9E-2</v>
      </c>
      <c r="Q13">
        <f t="shared" si="7"/>
        <v>0</v>
      </c>
    </row>
    <row r="14" spans="1:17" x14ac:dyDescent="0.35">
      <c r="A14">
        <v>9</v>
      </c>
      <c r="B14">
        <v>2.1999999999999999E-2</v>
      </c>
      <c r="C14">
        <f t="shared" si="0"/>
        <v>0</v>
      </c>
      <c r="D14">
        <v>2.1999999999999999E-2</v>
      </c>
      <c r="E14">
        <f t="shared" si="1"/>
        <v>0</v>
      </c>
      <c r="F14">
        <v>2.1999999999999999E-2</v>
      </c>
      <c r="G14">
        <f t="shared" si="2"/>
        <v>0</v>
      </c>
      <c r="H14">
        <v>2.1999999999999999E-2</v>
      </c>
      <c r="I14">
        <f t="shared" si="3"/>
        <v>0</v>
      </c>
      <c r="J14">
        <v>2.1999999999999999E-2</v>
      </c>
      <c r="K14">
        <f t="shared" si="4"/>
        <v>0</v>
      </c>
      <c r="L14">
        <v>2.1999999999999999E-2</v>
      </c>
      <c r="M14">
        <f t="shared" si="5"/>
        <v>0</v>
      </c>
      <c r="N14">
        <v>2.1999999999999999E-2</v>
      </c>
      <c r="O14">
        <f t="shared" si="6"/>
        <v>0</v>
      </c>
      <c r="P14">
        <v>2.1999999999999999E-2</v>
      </c>
      <c r="Q14">
        <f t="shared" si="7"/>
        <v>0</v>
      </c>
    </row>
    <row r="15" spans="1:17" x14ac:dyDescent="0.35">
      <c r="A15">
        <v>10</v>
      </c>
      <c r="B15">
        <v>1.4E-2</v>
      </c>
      <c r="C15">
        <f t="shared" si="0"/>
        <v>0</v>
      </c>
      <c r="D15">
        <v>1.4E-2</v>
      </c>
      <c r="E15">
        <f t="shared" si="1"/>
        <v>0</v>
      </c>
      <c r="F15">
        <v>1.4E-2</v>
      </c>
      <c r="G15">
        <f t="shared" si="2"/>
        <v>0</v>
      </c>
      <c r="H15">
        <v>1.4E-2</v>
      </c>
      <c r="I15">
        <f t="shared" si="3"/>
        <v>0</v>
      </c>
      <c r="J15">
        <v>1.4E-2</v>
      </c>
      <c r="K15">
        <f t="shared" si="4"/>
        <v>0</v>
      </c>
      <c r="L15">
        <v>1.4E-2</v>
      </c>
      <c r="M15">
        <f t="shared" si="5"/>
        <v>0</v>
      </c>
      <c r="N15">
        <v>1.4E-2</v>
      </c>
      <c r="O15">
        <f t="shared" si="6"/>
        <v>0</v>
      </c>
      <c r="P15">
        <v>1.4E-2</v>
      </c>
      <c r="Q15">
        <f t="shared" si="7"/>
        <v>0</v>
      </c>
    </row>
    <row r="16" spans="1:17" x14ac:dyDescent="0.35">
      <c r="A16">
        <v>11</v>
      </c>
      <c r="B16">
        <v>1.7000000000000001E-2</v>
      </c>
      <c r="C16">
        <f t="shared" si="0"/>
        <v>0</v>
      </c>
      <c r="D16">
        <v>1.7000000000000001E-2</v>
      </c>
      <c r="E16">
        <f t="shared" si="1"/>
        <v>0</v>
      </c>
      <c r="F16">
        <v>1.7000000000000001E-2</v>
      </c>
      <c r="G16">
        <f t="shared" si="2"/>
        <v>0</v>
      </c>
      <c r="H16">
        <v>1.7000000000000001E-2</v>
      </c>
      <c r="I16">
        <f t="shared" si="3"/>
        <v>0</v>
      </c>
      <c r="J16">
        <v>1.7000000000000001E-2</v>
      </c>
      <c r="K16">
        <f t="shared" si="4"/>
        <v>0</v>
      </c>
      <c r="L16">
        <v>1.7000000000000001E-2</v>
      </c>
      <c r="M16">
        <f t="shared" si="5"/>
        <v>0</v>
      </c>
      <c r="N16">
        <v>1.7000000000000001E-2</v>
      </c>
      <c r="O16">
        <f t="shared" si="6"/>
        <v>0</v>
      </c>
      <c r="P16">
        <v>1.7000000000000001E-2</v>
      </c>
      <c r="Q16">
        <f t="shared" si="7"/>
        <v>0</v>
      </c>
    </row>
    <row r="17" spans="1:17" x14ac:dyDescent="0.35">
      <c r="A17">
        <v>12</v>
      </c>
      <c r="B17">
        <v>2.1000000000000001E-2</v>
      </c>
      <c r="C17">
        <f t="shared" si="0"/>
        <v>0</v>
      </c>
      <c r="D17">
        <v>2.1000000000000001E-2</v>
      </c>
      <c r="E17">
        <f t="shared" si="1"/>
        <v>0</v>
      </c>
      <c r="F17">
        <v>2.1000000000000001E-2</v>
      </c>
      <c r="G17">
        <f t="shared" si="2"/>
        <v>0</v>
      </c>
      <c r="H17">
        <v>2.1000000000000001E-2</v>
      </c>
      <c r="I17">
        <f t="shared" si="3"/>
        <v>0</v>
      </c>
      <c r="J17">
        <v>2.1000000000000001E-2</v>
      </c>
      <c r="K17">
        <f t="shared" si="4"/>
        <v>0</v>
      </c>
      <c r="L17">
        <v>2.1000000000000001E-2</v>
      </c>
      <c r="M17">
        <f t="shared" si="5"/>
        <v>0</v>
      </c>
      <c r="N17">
        <v>2.1000000000000001E-2</v>
      </c>
      <c r="O17">
        <f t="shared" si="6"/>
        <v>0</v>
      </c>
      <c r="P17">
        <v>2.1000000000000001E-2</v>
      </c>
      <c r="Q17">
        <f t="shared" si="7"/>
        <v>0</v>
      </c>
    </row>
    <row r="18" spans="1:17" x14ac:dyDescent="0.35">
      <c r="A18">
        <v>13</v>
      </c>
      <c r="B18">
        <v>1.4999999999999999E-2</v>
      </c>
      <c r="C18">
        <f t="shared" si="0"/>
        <v>0</v>
      </c>
      <c r="D18">
        <v>1.4999999999999999E-2</v>
      </c>
      <c r="E18">
        <f t="shared" si="1"/>
        <v>0</v>
      </c>
      <c r="F18">
        <v>1.4999999999999999E-2</v>
      </c>
      <c r="G18">
        <f t="shared" si="2"/>
        <v>0</v>
      </c>
      <c r="H18">
        <v>1.4999999999999999E-2</v>
      </c>
      <c r="I18">
        <f t="shared" si="3"/>
        <v>0</v>
      </c>
      <c r="J18">
        <v>1.4999999999999999E-2</v>
      </c>
      <c r="K18">
        <f t="shared" si="4"/>
        <v>0</v>
      </c>
      <c r="L18">
        <v>1.4999999999999999E-2</v>
      </c>
      <c r="M18">
        <f t="shared" si="5"/>
        <v>0</v>
      </c>
      <c r="N18">
        <v>1.4999999999999999E-2</v>
      </c>
      <c r="O18">
        <f t="shared" si="6"/>
        <v>0</v>
      </c>
      <c r="P18">
        <v>1.4999999999999999E-2</v>
      </c>
      <c r="Q18">
        <f t="shared" si="7"/>
        <v>0</v>
      </c>
    </row>
    <row r="19" spans="1:17" x14ac:dyDescent="0.35">
      <c r="A19">
        <v>14</v>
      </c>
      <c r="B19">
        <v>1.6E-2</v>
      </c>
      <c r="C19">
        <f t="shared" si="0"/>
        <v>0</v>
      </c>
      <c r="D19">
        <v>1.6E-2</v>
      </c>
      <c r="E19">
        <f t="shared" si="1"/>
        <v>0</v>
      </c>
      <c r="F19">
        <v>1.6E-2</v>
      </c>
      <c r="G19">
        <f t="shared" si="2"/>
        <v>0</v>
      </c>
      <c r="H19">
        <v>1.6E-2</v>
      </c>
      <c r="I19">
        <f t="shared" si="3"/>
        <v>0</v>
      </c>
      <c r="J19">
        <v>1.6E-2</v>
      </c>
      <c r="K19">
        <f t="shared" si="4"/>
        <v>0</v>
      </c>
      <c r="L19">
        <v>1.6E-2</v>
      </c>
      <c r="M19">
        <f t="shared" si="5"/>
        <v>0</v>
      </c>
      <c r="N19">
        <v>1.6E-2</v>
      </c>
      <c r="O19">
        <f t="shared" si="6"/>
        <v>0</v>
      </c>
      <c r="P19">
        <v>1.6E-2</v>
      </c>
      <c r="Q19">
        <f t="shared" si="7"/>
        <v>0</v>
      </c>
    </row>
    <row r="20" spans="1:17" x14ac:dyDescent="0.35">
      <c r="A20">
        <v>15</v>
      </c>
      <c r="B20">
        <v>2.1999999999999999E-2</v>
      </c>
      <c r="C20">
        <f t="shared" si="0"/>
        <v>0</v>
      </c>
      <c r="D20">
        <v>2.1999999999999999E-2</v>
      </c>
      <c r="E20">
        <f t="shared" si="1"/>
        <v>0</v>
      </c>
      <c r="F20">
        <v>2.1999999999999999E-2</v>
      </c>
      <c r="G20">
        <f t="shared" si="2"/>
        <v>0</v>
      </c>
      <c r="H20">
        <v>2.1999999999999999E-2</v>
      </c>
      <c r="I20">
        <f t="shared" si="3"/>
        <v>0</v>
      </c>
      <c r="J20">
        <v>2.1999999999999999E-2</v>
      </c>
      <c r="K20">
        <f t="shared" si="4"/>
        <v>0</v>
      </c>
      <c r="L20">
        <v>2.1999999999999999E-2</v>
      </c>
      <c r="M20">
        <f t="shared" si="5"/>
        <v>0</v>
      </c>
      <c r="N20">
        <v>2.1999999999999999E-2</v>
      </c>
      <c r="O20">
        <f t="shared" si="6"/>
        <v>0</v>
      </c>
      <c r="P20">
        <v>2.1999999999999999E-2</v>
      </c>
      <c r="Q20">
        <f t="shared" si="7"/>
        <v>0</v>
      </c>
    </row>
    <row r="21" spans="1:17" x14ac:dyDescent="0.35">
      <c r="A21">
        <v>16</v>
      </c>
      <c r="B21">
        <v>1.6E-2</v>
      </c>
      <c r="C21">
        <f t="shared" si="0"/>
        <v>0</v>
      </c>
      <c r="D21">
        <v>1.7000000000000001E-2</v>
      </c>
      <c r="E21">
        <f t="shared" si="1"/>
        <v>6.2500000000000053</v>
      </c>
      <c r="F21">
        <v>1.7000000000000001E-2</v>
      </c>
      <c r="G21">
        <f t="shared" si="2"/>
        <v>6.2500000000000053</v>
      </c>
      <c r="H21">
        <v>1.7000000000000001E-2</v>
      </c>
      <c r="I21">
        <f t="shared" si="3"/>
        <v>6.2500000000000053</v>
      </c>
      <c r="J21">
        <v>1.7000000000000001E-2</v>
      </c>
      <c r="K21">
        <f t="shared" si="4"/>
        <v>6.2500000000000053</v>
      </c>
      <c r="L21">
        <v>1.7000000000000001E-2</v>
      </c>
      <c r="M21">
        <f t="shared" si="5"/>
        <v>6.2500000000000053</v>
      </c>
      <c r="N21">
        <v>1.7000000000000001E-2</v>
      </c>
      <c r="O21">
        <f t="shared" si="6"/>
        <v>6.2500000000000053</v>
      </c>
      <c r="P21">
        <v>1.7000000000000001E-2</v>
      </c>
      <c r="Q21">
        <f t="shared" si="7"/>
        <v>6.2500000000000053</v>
      </c>
    </row>
    <row r="22" spans="1:17" x14ac:dyDescent="0.35">
      <c r="A22">
        <v>17</v>
      </c>
      <c r="B22">
        <v>1.7000000000000001E-2</v>
      </c>
      <c r="C22">
        <f t="shared" si="0"/>
        <v>0</v>
      </c>
      <c r="D22">
        <v>1.7999999999999999E-2</v>
      </c>
      <c r="E22">
        <f t="shared" si="1"/>
        <v>5.882352941176455</v>
      </c>
      <c r="F22">
        <v>1.7999999999999999E-2</v>
      </c>
      <c r="G22">
        <f t="shared" si="2"/>
        <v>5.882352941176455</v>
      </c>
      <c r="H22">
        <v>1.7999999999999999E-2</v>
      </c>
      <c r="I22">
        <f t="shared" si="3"/>
        <v>5.882352941176455</v>
      </c>
      <c r="J22">
        <v>1.7999999999999999E-2</v>
      </c>
      <c r="K22">
        <f t="shared" si="4"/>
        <v>5.882352941176455</v>
      </c>
      <c r="L22">
        <v>1.7999999999999999E-2</v>
      </c>
      <c r="M22">
        <f t="shared" si="5"/>
        <v>5.882352941176455</v>
      </c>
      <c r="N22">
        <v>1.7999999999999999E-2</v>
      </c>
      <c r="O22">
        <f t="shared" si="6"/>
        <v>5.882352941176455</v>
      </c>
      <c r="P22">
        <v>1.7999999999999999E-2</v>
      </c>
      <c r="Q22">
        <f t="shared" si="7"/>
        <v>5.882352941176455</v>
      </c>
    </row>
    <row r="23" spans="1:17" x14ac:dyDescent="0.35">
      <c r="A23">
        <v>18</v>
      </c>
      <c r="B23">
        <v>1.6E-2</v>
      </c>
      <c r="C23">
        <f t="shared" si="0"/>
        <v>0</v>
      </c>
      <c r="D23">
        <v>1.6E-2</v>
      </c>
      <c r="E23">
        <f t="shared" si="1"/>
        <v>0</v>
      </c>
      <c r="F23">
        <v>1.6E-2</v>
      </c>
      <c r="G23">
        <f t="shared" si="2"/>
        <v>0</v>
      </c>
      <c r="H23">
        <v>1.6E-2</v>
      </c>
      <c r="I23">
        <f t="shared" si="3"/>
        <v>0</v>
      </c>
      <c r="J23">
        <v>1.6E-2</v>
      </c>
      <c r="K23">
        <f t="shared" si="4"/>
        <v>0</v>
      </c>
      <c r="L23">
        <v>1.6E-2</v>
      </c>
      <c r="M23">
        <f t="shared" si="5"/>
        <v>0</v>
      </c>
      <c r="N23">
        <v>1.6E-2</v>
      </c>
      <c r="O23">
        <f t="shared" si="6"/>
        <v>0</v>
      </c>
      <c r="P23">
        <v>1.6E-2</v>
      </c>
      <c r="Q23">
        <f t="shared" si="7"/>
        <v>0</v>
      </c>
    </row>
    <row r="24" spans="1:17" x14ac:dyDescent="0.35">
      <c r="A24">
        <v>19</v>
      </c>
      <c r="B24">
        <v>1.7000000000000001E-2</v>
      </c>
      <c r="C24">
        <f t="shared" si="0"/>
        <v>0</v>
      </c>
      <c r="D24">
        <v>1.7000000000000001E-2</v>
      </c>
      <c r="E24">
        <f t="shared" si="1"/>
        <v>0</v>
      </c>
      <c r="F24">
        <v>1.7000000000000001E-2</v>
      </c>
      <c r="G24">
        <f t="shared" si="2"/>
        <v>0</v>
      </c>
      <c r="H24">
        <v>1.7000000000000001E-2</v>
      </c>
      <c r="I24">
        <f t="shared" si="3"/>
        <v>0</v>
      </c>
      <c r="J24">
        <v>1.7000000000000001E-2</v>
      </c>
      <c r="K24">
        <f t="shared" si="4"/>
        <v>0</v>
      </c>
      <c r="L24">
        <v>1.7000000000000001E-2</v>
      </c>
      <c r="M24">
        <f t="shared" si="5"/>
        <v>0</v>
      </c>
      <c r="N24">
        <v>1.7000000000000001E-2</v>
      </c>
      <c r="O24">
        <f t="shared" si="6"/>
        <v>0</v>
      </c>
      <c r="P24">
        <v>1.7000000000000001E-2</v>
      </c>
      <c r="Q24">
        <f t="shared" si="7"/>
        <v>0</v>
      </c>
    </row>
    <row r="25" spans="1:17" x14ac:dyDescent="0.35">
      <c r="A25">
        <v>20</v>
      </c>
      <c r="B25">
        <v>1.9E-2</v>
      </c>
      <c r="C25">
        <f t="shared" si="0"/>
        <v>0</v>
      </c>
      <c r="D25">
        <v>1.9E-2</v>
      </c>
      <c r="E25">
        <f t="shared" si="1"/>
        <v>0</v>
      </c>
      <c r="F25">
        <v>1.9E-2</v>
      </c>
      <c r="G25">
        <f t="shared" si="2"/>
        <v>0</v>
      </c>
      <c r="H25">
        <v>1.9E-2</v>
      </c>
      <c r="I25">
        <f t="shared" si="3"/>
        <v>0</v>
      </c>
      <c r="J25">
        <v>1.9E-2</v>
      </c>
      <c r="K25">
        <f t="shared" si="4"/>
        <v>0</v>
      </c>
      <c r="L25">
        <v>1.9E-2</v>
      </c>
      <c r="M25">
        <f t="shared" si="5"/>
        <v>0</v>
      </c>
      <c r="N25">
        <v>1.9E-2</v>
      </c>
      <c r="O25">
        <f t="shared" si="6"/>
        <v>0</v>
      </c>
      <c r="P25">
        <v>1.9E-2</v>
      </c>
      <c r="Q25">
        <f t="shared" si="7"/>
        <v>0</v>
      </c>
    </row>
    <row r="28" spans="1:17" x14ac:dyDescent="0.35">
      <c r="A28">
        <v>1</v>
      </c>
      <c r="B28">
        <v>2.1999999999999999E-2</v>
      </c>
      <c r="C28">
        <f>(B28-B28)/B28 * 100</f>
        <v>0</v>
      </c>
      <c r="D28">
        <v>3.3000000000000002E-2</v>
      </c>
      <c r="E28">
        <f>(D28-B28)/B28 * 100</f>
        <v>50.000000000000014</v>
      </c>
      <c r="F28" s="4">
        <v>4.3999999999999997E-2</v>
      </c>
      <c r="G28">
        <f>(F28-B28)/B28 * 100</f>
        <v>100</v>
      </c>
      <c r="H28" s="4">
        <v>4.3999999999999997E-2</v>
      </c>
      <c r="I28">
        <f>(H28-B28)/B28 * 100</f>
        <v>100</v>
      </c>
    </row>
    <row r="29" spans="1:17" x14ac:dyDescent="0.35">
      <c r="A29">
        <v>2</v>
      </c>
      <c r="B29">
        <v>0.02</v>
      </c>
      <c r="C29">
        <f t="shared" ref="C29" si="8">(B29-B29)/B29 * 100</f>
        <v>0</v>
      </c>
      <c r="D29">
        <v>3.5000000000000003E-2</v>
      </c>
      <c r="E29">
        <f t="shared" ref="E29:E47" si="9">(D29-B29)/B29 * 100</f>
        <v>75.000000000000014</v>
      </c>
      <c r="F29">
        <v>4.5999999999999999E-2</v>
      </c>
      <c r="G29">
        <f t="shared" ref="G29:G47" si="10">(F29-B29)/B29 * 100</f>
        <v>129.99999999999997</v>
      </c>
      <c r="H29" s="4">
        <v>0.06</v>
      </c>
      <c r="I29">
        <f t="shared" ref="I29:I47" si="11">(H29-B29)/B29 * 100</f>
        <v>199.99999999999994</v>
      </c>
    </row>
    <row r="30" spans="1:17" x14ac:dyDescent="0.35">
      <c r="A30">
        <v>3</v>
      </c>
      <c r="B30">
        <v>1.7999999999999999E-2</v>
      </c>
      <c r="C30">
        <f t="shared" ref="C30" si="12">(B30-B30)/B30 * 100</f>
        <v>0</v>
      </c>
      <c r="D30">
        <v>3.2000000000000001E-2</v>
      </c>
      <c r="E30">
        <f t="shared" si="9"/>
        <v>77.777777777777786</v>
      </c>
      <c r="F30">
        <v>4.1000000000000002E-2</v>
      </c>
      <c r="G30">
        <f t="shared" si="10"/>
        <v>127.77777777777781</v>
      </c>
      <c r="H30" s="4">
        <v>4.5999999999999999E-2</v>
      </c>
      <c r="I30">
        <f t="shared" si="11"/>
        <v>155.55555555555557</v>
      </c>
    </row>
    <row r="31" spans="1:17" x14ac:dyDescent="0.35">
      <c r="A31">
        <v>4</v>
      </c>
      <c r="B31">
        <v>0.02</v>
      </c>
      <c r="C31">
        <f t="shared" ref="C31" si="13">(B31-B31)/B31 * 100</f>
        <v>0</v>
      </c>
      <c r="D31">
        <v>4.1000000000000002E-2</v>
      </c>
      <c r="E31">
        <f t="shared" si="9"/>
        <v>105</v>
      </c>
      <c r="F31">
        <v>4.7E-2</v>
      </c>
      <c r="G31">
        <f t="shared" si="10"/>
        <v>135</v>
      </c>
      <c r="H31" s="4">
        <v>5.8000000000000003E-2</v>
      </c>
      <c r="I31">
        <f t="shared" si="11"/>
        <v>190.00000000000003</v>
      </c>
    </row>
    <row r="32" spans="1:17" x14ac:dyDescent="0.35">
      <c r="A32">
        <v>5</v>
      </c>
      <c r="B32">
        <v>1.7999999999999999E-2</v>
      </c>
      <c r="C32">
        <f t="shared" ref="C32" si="14">(B32-B32)/B32 * 100</f>
        <v>0</v>
      </c>
      <c r="D32">
        <v>0.03</v>
      </c>
      <c r="E32">
        <f t="shared" si="9"/>
        <v>66.666666666666671</v>
      </c>
      <c r="F32">
        <v>3.7999999999999999E-2</v>
      </c>
      <c r="G32">
        <f t="shared" si="10"/>
        <v>111.11111111111111</v>
      </c>
      <c r="H32" s="4">
        <v>5.1999999999999998E-2</v>
      </c>
      <c r="I32">
        <f t="shared" si="11"/>
        <v>188.88888888888891</v>
      </c>
    </row>
    <row r="33" spans="1:9" x14ac:dyDescent="0.35">
      <c r="A33">
        <v>6</v>
      </c>
      <c r="B33">
        <v>2.5000000000000001E-2</v>
      </c>
      <c r="C33">
        <f t="shared" ref="C33" si="15">(B33-B33)/B33 * 100</f>
        <v>0</v>
      </c>
      <c r="D33">
        <v>0.04</v>
      </c>
      <c r="E33">
        <f t="shared" si="9"/>
        <v>60</v>
      </c>
      <c r="F33">
        <v>5.1999999999999998E-2</v>
      </c>
      <c r="G33">
        <f t="shared" si="10"/>
        <v>107.99999999999999</v>
      </c>
      <c r="H33" s="4">
        <v>5.7000000000000002E-2</v>
      </c>
      <c r="I33">
        <f t="shared" si="11"/>
        <v>128</v>
      </c>
    </row>
    <row r="34" spans="1:9" x14ac:dyDescent="0.35">
      <c r="A34">
        <v>7</v>
      </c>
      <c r="B34">
        <v>0.02</v>
      </c>
      <c r="C34">
        <f t="shared" ref="C34" si="16">(B34-B34)/B34 * 100</f>
        <v>0</v>
      </c>
      <c r="D34">
        <v>3.1E-2</v>
      </c>
      <c r="E34">
        <f t="shared" si="9"/>
        <v>54.999999999999993</v>
      </c>
      <c r="F34">
        <v>4.2000000000000003E-2</v>
      </c>
      <c r="G34">
        <f t="shared" si="10"/>
        <v>110.00000000000001</v>
      </c>
      <c r="H34" s="4">
        <v>0.05</v>
      </c>
      <c r="I34">
        <f t="shared" si="11"/>
        <v>150</v>
      </c>
    </row>
    <row r="35" spans="1:9" x14ac:dyDescent="0.35">
      <c r="A35">
        <v>8</v>
      </c>
      <c r="B35">
        <v>1.6E-2</v>
      </c>
      <c r="C35">
        <f t="shared" ref="C35" si="17">(B35-B35)/B35 * 100</f>
        <v>0</v>
      </c>
      <c r="D35">
        <v>3.5000000000000003E-2</v>
      </c>
      <c r="E35">
        <f t="shared" si="9"/>
        <v>118.75000000000003</v>
      </c>
      <c r="F35">
        <v>3.5999999999999997E-2</v>
      </c>
      <c r="G35">
        <f t="shared" si="10"/>
        <v>124.99999999999997</v>
      </c>
      <c r="H35" s="4">
        <v>4.2999999999999997E-2</v>
      </c>
      <c r="I35">
        <f t="shared" si="11"/>
        <v>168.74999999999997</v>
      </c>
    </row>
    <row r="36" spans="1:9" x14ac:dyDescent="0.35">
      <c r="A36">
        <v>9</v>
      </c>
      <c r="B36">
        <v>1.9E-2</v>
      </c>
      <c r="C36">
        <f t="shared" ref="C36" si="18">(B36-B36)/B36 * 100</f>
        <v>0</v>
      </c>
      <c r="D36">
        <v>0.03</v>
      </c>
      <c r="E36">
        <f t="shared" si="9"/>
        <v>57.894736842105267</v>
      </c>
      <c r="F36">
        <v>0.04</v>
      </c>
      <c r="G36">
        <f t="shared" si="10"/>
        <v>110.5263157894737</v>
      </c>
      <c r="H36" s="4">
        <v>4.9000000000000002E-2</v>
      </c>
      <c r="I36">
        <f t="shared" si="11"/>
        <v>157.89473684210529</v>
      </c>
    </row>
    <row r="37" spans="1:9" x14ac:dyDescent="0.35">
      <c r="A37">
        <v>10</v>
      </c>
      <c r="B37">
        <v>1.7000000000000001E-2</v>
      </c>
      <c r="C37">
        <f t="shared" ref="C37" si="19">(B37-B37)/B37 * 100</f>
        <v>0</v>
      </c>
      <c r="D37">
        <v>2.7E-2</v>
      </c>
      <c r="E37">
        <f t="shared" si="9"/>
        <v>58.823529411764696</v>
      </c>
      <c r="F37">
        <v>3.4000000000000002E-2</v>
      </c>
      <c r="G37">
        <f t="shared" si="10"/>
        <v>100</v>
      </c>
      <c r="H37" s="4">
        <v>3.7999999999999999E-2</v>
      </c>
      <c r="I37">
        <f t="shared" si="11"/>
        <v>123.52941176470587</v>
      </c>
    </row>
    <row r="38" spans="1:9" x14ac:dyDescent="0.35">
      <c r="A38">
        <v>11</v>
      </c>
      <c r="B38">
        <v>1.7000000000000001E-2</v>
      </c>
      <c r="C38">
        <f t="shared" ref="C38" si="20">(B38-B38)/B38 * 100</f>
        <v>0</v>
      </c>
      <c r="D38">
        <v>2.9000000000000001E-2</v>
      </c>
      <c r="E38">
        <f t="shared" si="9"/>
        <v>70.588235294117638</v>
      </c>
      <c r="F38">
        <v>3.5999999999999997E-2</v>
      </c>
      <c r="G38">
        <f t="shared" si="10"/>
        <v>111.7647058823529</v>
      </c>
      <c r="H38" s="4">
        <v>3.9E-2</v>
      </c>
      <c r="I38">
        <f t="shared" si="11"/>
        <v>129.41176470588235</v>
      </c>
    </row>
    <row r="39" spans="1:9" x14ac:dyDescent="0.35">
      <c r="A39">
        <v>12</v>
      </c>
      <c r="B39">
        <v>2.1999999999999999E-2</v>
      </c>
      <c r="C39">
        <f t="shared" ref="C39" si="21">(B39-B39)/B39 * 100</f>
        <v>0</v>
      </c>
      <c r="D39">
        <v>3.6999999999999998E-2</v>
      </c>
      <c r="E39">
        <f t="shared" si="9"/>
        <v>68.181818181818187</v>
      </c>
      <c r="F39">
        <v>4.9000000000000002E-2</v>
      </c>
      <c r="G39">
        <f t="shared" si="10"/>
        <v>122.72727272727275</v>
      </c>
      <c r="H39" s="4">
        <v>5.8999999999999997E-2</v>
      </c>
      <c r="I39">
        <f t="shared" si="11"/>
        <v>168.18181818181819</v>
      </c>
    </row>
    <row r="40" spans="1:9" x14ac:dyDescent="0.35">
      <c r="A40">
        <v>13</v>
      </c>
      <c r="B40">
        <v>1.7000000000000001E-2</v>
      </c>
      <c r="C40">
        <f t="shared" ref="C40" si="22">(B40-B40)/B40 * 100</f>
        <v>0</v>
      </c>
      <c r="D40">
        <v>2.9000000000000001E-2</v>
      </c>
      <c r="E40">
        <f t="shared" si="9"/>
        <v>70.588235294117638</v>
      </c>
      <c r="F40">
        <v>3.5999999999999997E-2</v>
      </c>
      <c r="G40">
        <f t="shared" si="10"/>
        <v>111.7647058823529</v>
      </c>
      <c r="H40" s="4">
        <v>4.5999999999999999E-2</v>
      </c>
      <c r="I40">
        <f t="shared" si="11"/>
        <v>170.58823529411762</v>
      </c>
    </row>
    <row r="41" spans="1:9" x14ac:dyDescent="0.35">
      <c r="A41">
        <v>14</v>
      </c>
      <c r="B41">
        <v>1.6E-2</v>
      </c>
      <c r="C41">
        <f t="shared" ref="C41" si="23">(B41-B41)/B41 * 100</f>
        <v>0</v>
      </c>
      <c r="D41">
        <v>2.7E-2</v>
      </c>
      <c r="E41">
        <f t="shared" si="9"/>
        <v>68.75</v>
      </c>
      <c r="F41">
        <v>3.1E-2</v>
      </c>
      <c r="G41">
        <f t="shared" si="10"/>
        <v>93.75</v>
      </c>
      <c r="H41" s="4">
        <v>4.2000000000000003E-2</v>
      </c>
      <c r="I41">
        <f t="shared" si="11"/>
        <v>162.5</v>
      </c>
    </row>
    <row r="42" spans="1:9" x14ac:dyDescent="0.35">
      <c r="A42">
        <v>15</v>
      </c>
      <c r="B42">
        <v>1.4999999999999999E-2</v>
      </c>
      <c r="C42">
        <f t="shared" ref="C42" si="24">(B42-B42)/B42 * 100</f>
        <v>0</v>
      </c>
      <c r="D42">
        <v>2.5999999999999999E-2</v>
      </c>
      <c r="E42">
        <f t="shared" si="9"/>
        <v>73.333333333333329</v>
      </c>
      <c r="F42">
        <v>3.2000000000000001E-2</v>
      </c>
      <c r="G42">
        <f t="shared" si="10"/>
        <v>113.33333333333336</v>
      </c>
      <c r="H42" s="4">
        <v>3.5999999999999997E-2</v>
      </c>
      <c r="I42">
        <f t="shared" si="11"/>
        <v>140</v>
      </c>
    </row>
    <row r="43" spans="1:9" x14ac:dyDescent="0.35">
      <c r="A43">
        <v>16</v>
      </c>
      <c r="B43">
        <v>2.1000000000000001E-2</v>
      </c>
      <c r="C43">
        <f t="shared" ref="C43" si="25">(B43-B43)/B43 * 100</f>
        <v>0</v>
      </c>
      <c r="D43">
        <v>3.9E-2</v>
      </c>
      <c r="E43">
        <f t="shared" si="9"/>
        <v>85.714285714285694</v>
      </c>
      <c r="F43" s="4">
        <v>4.5999999999999999E-2</v>
      </c>
      <c r="G43">
        <f t="shared" si="10"/>
        <v>119.04761904761902</v>
      </c>
      <c r="I43">
        <f t="shared" si="11"/>
        <v>-100</v>
      </c>
    </row>
    <row r="44" spans="1:9" x14ac:dyDescent="0.35">
      <c r="A44">
        <v>17</v>
      </c>
      <c r="B44">
        <v>1.7000000000000001E-2</v>
      </c>
      <c r="C44">
        <f t="shared" ref="C44" si="26">(B44-B44)/B44 * 100</f>
        <v>0</v>
      </c>
      <c r="D44">
        <v>2.7E-2</v>
      </c>
      <c r="E44">
        <f t="shared" si="9"/>
        <v>58.823529411764696</v>
      </c>
      <c r="F44">
        <v>3.5999999999999997E-2</v>
      </c>
      <c r="G44">
        <f t="shared" si="10"/>
        <v>111.7647058823529</v>
      </c>
      <c r="H44" s="4">
        <v>3.9E-2</v>
      </c>
      <c r="I44">
        <f t="shared" si="11"/>
        <v>129.41176470588235</v>
      </c>
    </row>
    <row r="45" spans="1:9" x14ac:dyDescent="0.35">
      <c r="A45">
        <v>18</v>
      </c>
      <c r="B45">
        <v>1.6E-2</v>
      </c>
      <c r="C45">
        <f t="shared" ref="C45" si="27">(B45-B45)/B45 * 100</f>
        <v>0</v>
      </c>
      <c r="D45">
        <v>2.8000000000000001E-2</v>
      </c>
      <c r="E45">
        <f t="shared" si="9"/>
        <v>75</v>
      </c>
      <c r="F45">
        <v>3.7999999999999999E-2</v>
      </c>
      <c r="G45">
        <f t="shared" si="10"/>
        <v>137.5</v>
      </c>
      <c r="H45" s="4">
        <v>4.7E-2</v>
      </c>
      <c r="I45">
        <f t="shared" si="11"/>
        <v>193.75</v>
      </c>
    </row>
    <row r="46" spans="1:9" x14ac:dyDescent="0.35">
      <c r="A46">
        <v>19</v>
      </c>
      <c r="B46">
        <v>1.7999999999999999E-2</v>
      </c>
      <c r="C46">
        <f t="shared" ref="C46" si="28">(B46-B46)/B46 * 100</f>
        <v>0</v>
      </c>
      <c r="D46">
        <v>3.3000000000000002E-2</v>
      </c>
      <c r="E46">
        <f t="shared" si="9"/>
        <v>83.333333333333357</v>
      </c>
      <c r="F46" s="4">
        <v>3.3000000000000002E-2</v>
      </c>
      <c r="G46">
        <f t="shared" si="10"/>
        <v>83.333333333333357</v>
      </c>
      <c r="I46">
        <f t="shared" si="11"/>
        <v>-100</v>
      </c>
    </row>
    <row r="47" spans="1:9" x14ac:dyDescent="0.35">
      <c r="A47">
        <v>20</v>
      </c>
      <c r="B47">
        <v>1.4999999999999999E-2</v>
      </c>
      <c r="C47">
        <f t="shared" ref="C47" si="29">(B47-B47)/B47 * 100</f>
        <v>0</v>
      </c>
      <c r="D47">
        <v>2.7E-2</v>
      </c>
      <c r="E47">
        <f t="shared" si="9"/>
        <v>80</v>
      </c>
      <c r="F47">
        <v>3.5000000000000003E-2</v>
      </c>
      <c r="G47">
        <f t="shared" si="10"/>
        <v>133.33333333333337</v>
      </c>
      <c r="H47" s="4">
        <v>3.9E-2</v>
      </c>
      <c r="I47">
        <f t="shared" si="11"/>
        <v>160</v>
      </c>
    </row>
  </sheetData>
  <mergeCells count="1">
    <mergeCell ref="B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CB940-D147-45EE-AB7C-EB1FA7D37EB1}">
  <dimension ref="A1:T52"/>
  <sheetViews>
    <sheetView tabSelected="1" topLeftCell="H30" workbookViewId="0">
      <selection activeCell="T45" sqref="T45"/>
    </sheetView>
  </sheetViews>
  <sheetFormatPr defaultRowHeight="14.5" x14ac:dyDescent="0.35"/>
  <sheetData>
    <row r="1" spans="1:9" x14ac:dyDescent="0.35">
      <c r="A1" t="s">
        <v>14</v>
      </c>
    </row>
    <row r="4" spans="1:9" x14ac:dyDescent="0.35">
      <c r="A4" t="s">
        <v>5</v>
      </c>
    </row>
    <row r="5" spans="1:9" x14ac:dyDescent="0.35">
      <c r="B5">
        <v>0</v>
      </c>
      <c r="C5">
        <v>3</v>
      </c>
      <c r="D5">
        <v>6</v>
      </c>
      <c r="E5">
        <v>24</v>
      </c>
      <c r="F5">
        <v>72</v>
      </c>
      <c r="G5">
        <v>120</v>
      </c>
      <c r="H5">
        <v>168</v>
      </c>
      <c r="I5">
        <v>216</v>
      </c>
    </row>
    <row r="6" spans="1:9" x14ac:dyDescent="0.35">
      <c r="A6">
        <v>1</v>
      </c>
      <c r="B6">
        <v>0</v>
      </c>
      <c r="C6">
        <v>4.1666666666666705</v>
      </c>
      <c r="D6">
        <v>4.1666666666666705</v>
      </c>
      <c r="E6">
        <v>4.1666666666666705</v>
      </c>
      <c r="F6">
        <v>4.1666666666666705</v>
      </c>
      <c r="G6">
        <v>4.1666666666666705</v>
      </c>
      <c r="H6">
        <v>4.1666666666666705</v>
      </c>
      <c r="I6">
        <v>4.1666666666666705</v>
      </c>
    </row>
    <row r="7" spans="1:9" x14ac:dyDescent="0.35">
      <c r="A7">
        <v>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5">
      <c r="A8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5">
      <c r="A9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5">
      <c r="A10">
        <v>5</v>
      </c>
      <c r="B10">
        <v>0</v>
      </c>
      <c r="C10">
        <v>68.421052631578959</v>
      </c>
      <c r="D10">
        <v>121.05263157894738</v>
      </c>
      <c r="E10">
        <v>163.15789473684214</v>
      </c>
      <c r="F10">
        <v>163.15789473684214</v>
      </c>
      <c r="G10">
        <v>163.15789473684214</v>
      </c>
      <c r="H10">
        <v>163.15789473684214</v>
      </c>
      <c r="I10">
        <v>163.15789473684214</v>
      </c>
    </row>
    <row r="11" spans="1:9" x14ac:dyDescent="0.35">
      <c r="A11">
        <v>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5">
      <c r="A12">
        <v>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5">
      <c r="A13">
        <v>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5">
      <c r="A14">
        <v>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5">
      <c r="A15">
        <v>10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5">
      <c r="A16">
        <v>11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20" x14ac:dyDescent="0.35">
      <c r="A17">
        <v>12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20" x14ac:dyDescent="0.35">
      <c r="A18">
        <v>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20" x14ac:dyDescent="0.35">
      <c r="A19">
        <v>14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0" x14ac:dyDescent="0.35">
      <c r="A20">
        <v>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20" x14ac:dyDescent="0.35">
      <c r="A21">
        <v>16</v>
      </c>
      <c r="B21">
        <v>0</v>
      </c>
      <c r="C21">
        <v>6.2500000000000053</v>
      </c>
      <c r="D21">
        <v>6.2500000000000053</v>
      </c>
      <c r="E21">
        <v>6.2500000000000053</v>
      </c>
      <c r="F21">
        <v>6.2500000000000053</v>
      </c>
      <c r="G21">
        <v>6.2500000000000053</v>
      </c>
      <c r="H21">
        <v>6.2500000000000053</v>
      </c>
      <c r="I21">
        <v>6.2500000000000053</v>
      </c>
    </row>
    <row r="22" spans="1:20" x14ac:dyDescent="0.35">
      <c r="A22">
        <v>17</v>
      </c>
      <c r="B22">
        <v>0</v>
      </c>
      <c r="C22">
        <v>5.882352941176455</v>
      </c>
      <c r="D22">
        <v>5.882352941176455</v>
      </c>
      <c r="E22">
        <v>5.882352941176455</v>
      </c>
      <c r="F22">
        <v>5.882352941176455</v>
      </c>
      <c r="G22">
        <v>5.882352941176455</v>
      </c>
      <c r="H22">
        <v>5.882352941176455</v>
      </c>
      <c r="I22">
        <v>5.882352941176455</v>
      </c>
    </row>
    <row r="23" spans="1:20" x14ac:dyDescent="0.35">
      <c r="A23">
        <v>18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20" x14ac:dyDescent="0.35">
      <c r="A24">
        <v>19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20" x14ac:dyDescent="0.35">
      <c r="A25">
        <v>20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L25">
        <v>0</v>
      </c>
      <c r="M25">
        <v>3</v>
      </c>
      <c r="N25">
        <v>6</v>
      </c>
      <c r="O25">
        <v>24</v>
      </c>
      <c r="P25">
        <v>72</v>
      </c>
      <c r="Q25">
        <v>120</v>
      </c>
      <c r="R25">
        <f>Q25+48</f>
        <v>168</v>
      </c>
      <c r="S25">
        <f>R25+48</f>
        <v>216</v>
      </c>
      <c r="T25">
        <v>240</v>
      </c>
    </row>
    <row r="26" spans="1:20" x14ac:dyDescent="0.35">
      <c r="B26">
        <f>AVERAGE(B6:B25)</f>
        <v>0</v>
      </c>
      <c r="C26">
        <f t="shared" ref="C26:I26" si="0">AVERAGE(C6:C25)</f>
        <v>4.2360036119711042</v>
      </c>
      <c r="D26">
        <f t="shared" si="0"/>
        <v>6.8675825593395263</v>
      </c>
      <c r="E26">
        <f t="shared" si="0"/>
        <v>8.9728457172342626</v>
      </c>
      <c r="F26">
        <f t="shared" si="0"/>
        <v>8.9728457172342626</v>
      </c>
      <c r="G26">
        <f t="shared" si="0"/>
        <v>8.9728457172342626</v>
      </c>
      <c r="H26">
        <f t="shared" si="0"/>
        <v>8.9728457172342626</v>
      </c>
      <c r="I26">
        <f t="shared" si="0"/>
        <v>8.9728457172342626</v>
      </c>
      <c r="K26" t="s">
        <v>20</v>
      </c>
      <c r="L26">
        <v>0</v>
      </c>
      <c r="M26">
        <v>4.2360036119711042</v>
      </c>
      <c r="N26">
        <v>6.8675825593395263</v>
      </c>
      <c r="O26">
        <v>8.9728457172342626</v>
      </c>
      <c r="P26">
        <v>8.9728457172342626</v>
      </c>
      <c r="Q26">
        <v>8.9728457172342626</v>
      </c>
      <c r="R26">
        <v>8.9728457172342626</v>
      </c>
      <c r="S26">
        <v>8.9728457172342626</v>
      </c>
      <c r="T26">
        <v>8.9728457172342626</v>
      </c>
    </row>
    <row r="27" spans="1:20" x14ac:dyDescent="0.35">
      <c r="B27">
        <f>_xlfn.STDEV.S(B6:B25)</f>
        <v>0</v>
      </c>
      <c r="C27">
        <f t="shared" ref="C27:I27" si="1">_xlfn.STDEV.S(C6:C25)</f>
        <v>15.24120384531825</v>
      </c>
      <c r="D27">
        <f t="shared" si="1"/>
        <v>26.95170290024377</v>
      </c>
      <c r="E27">
        <f t="shared" si="1"/>
        <v>36.347218163943189</v>
      </c>
      <c r="F27">
        <f t="shared" si="1"/>
        <v>36.347218163943189</v>
      </c>
      <c r="G27">
        <f t="shared" si="1"/>
        <v>36.347218163943189</v>
      </c>
      <c r="H27">
        <f t="shared" si="1"/>
        <v>36.347218163943189</v>
      </c>
      <c r="I27">
        <f t="shared" si="1"/>
        <v>36.347218163943189</v>
      </c>
      <c r="K27" t="s">
        <v>6</v>
      </c>
      <c r="L27">
        <v>0</v>
      </c>
      <c r="M27">
        <v>72.961274063054262</v>
      </c>
      <c r="N27">
        <v>114.78671070501568</v>
      </c>
      <c r="O27">
        <v>130.82310879694779</v>
      </c>
    </row>
    <row r="28" spans="1:20" x14ac:dyDescent="0.35">
      <c r="B28">
        <f>1.96*B27/SQRT(20)</f>
        <v>0</v>
      </c>
      <c r="C28">
        <f t="shared" ref="C28:I28" si="2">1.96*C27/SQRT(20)</f>
        <v>6.6797520999843076</v>
      </c>
      <c r="D28">
        <f t="shared" si="2"/>
        <v>11.812104599687366</v>
      </c>
      <c r="E28">
        <f t="shared" si="2"/>
        <v>15.929870719088042</v>
      </c>
      <c r="F28">
        <f t="shared" si="2"/>
        <v>15.929870719088042</v>
      </c>
      <c r="G28">
        <f t="shared" si="2"/>
        <v>15.929870719088042</v>
      </c>
      <c r="H28">
        <f t="shared" si="2"/>
        <v>15.929870719088042</v>
      </c>
      <c r="I28">
        <f t="shared" si="2"/>
        <v>15.929870719088042</v>
      </c>
    </row>
    <row r="30" spans="1:20" x14ac:dyDescent="0.35">
      <c r="A30">
        <v>1</v>
      </c>
      <c r="B30">
        <v>0</v>
      </c>
      <c r="C30">
        <v>50.000000000000014</v>
      </c>
      <c r="D30">
        <v>100</v>
      </c>
      <c r="E30">
        <v>100</v>
      </c>
    </row>
    <row r="31" spans="1:20" x14ac:dyDescent="0.35">
      <c r="A31">
        <v>2</v>
      </c>
      <c r="B31">
        <v>0</v>
      </c>
      <c r="C31">
        <v>75.000000000000014</v>
      </c>
      <c r="D31">
        <v>129.99999999999997</v>
      </c>
      <c r="E31">
        <v>199.99999999999994</v>
      </c>
    </row>
    <row r="32" spans="1:20" x14ac:dyDescent="0.35">
      <c r="A32">
        <v>3</v>
      </c>
      <c r="B32">
        <v>0</v>
      </c>
      <c r="C32">
        <v>77.777777777777786</v>
      </c>
      <c r="D32">
        <v>127.77777777777781</v>
      </c>
      <c r="E32">
        <v>155.55555555555557</v>
      </c>
      <c r="L32">
        <v>0</v>
      </c>
      <c r="M32">
        <v>6.6797520999843076</v>
      </c>
      <c r="N32">
        <v>11.812104599687366</v>
      </c>
      <c r="O32">
        <v>15.929870719088042</v>
      </c>
      <c r="P32">
        <v>15.929870719088042</v>
      </c>
      <c r="Q32">
        <v>15.929870719088042</v>
      </c>
      <c r="R32">
        <v>15.929870719088042</v>
      </c>
      <c r="S32">
        <v>15.929870719088042</v>
      </c>
      <c r="T32">
        <v>15.929870719088042</v>
      </c>
    </row>
    <row r="33" spans="1:15" x14ac:dyDescent="0.35">
      <c r="A33">
        <v>4</v>
      </c>
      <c r="B33">
        <v>0</v>
      </c>
      <c r="C33">
        <v>105</v>
      </c>
      <c r="D33">
        <v>135</v>
      </c>
      <c r="E33">
        <v>190.00000000000003</v>
      </c>
      <c r="L33">
        <v>0</v>
      </c>
      <c r="M33">
        <v>7.2578086231388559</v>
      </c>
      <c r="N33">
        <v>6.2415214292395875</v>
      </c>
      <c r="O33">
        <v>36.427488081453113</v>
      </c>
    </row>
    <row r="34" spans="1:15" x14ac:dyDescent="0.35">
      <c r="A34">
        <v>5</v>
      </c>
      <c r="B34">
        <v>0</v>
      </c>
      <c r="C34">
        <v>66.666666666666671</v>
      </c>
      <c r="D34">
        <v>111.11111111111111</v>
      </c>
      <c r="E34">
        <v>188.88888888888891</v>
      </c>
    </row>
    <row r="35" spans="1:15" x14ac:dyDescent="0.35">
      <c r="A35">
        <v>6</v>
      </c>
      <c r="B35">
        <v>0</v>
      </c>
      <c r="C35">
        <v>60</v>
      </c>
      <c r="D35">
        <v>107.99999999999999</v>
      </c>
      <c r="E35">
        <v>128</v>
      </c>
    </row>
    <row r="36" spans="1:15" x14ac:dyDescent="0.35">
      <c r="A36">
        <v>7</v>
      </c>
      <c r="B36">
        <v>0</v>
      </c>
      <c r="C36">
        <v>54.999999999999993</v>
      </c>
      <c r="D36">
        <v>110.00000000000001</v>
      </c>
      <c r="E36">
        <v>150</v>
      </c>
    </row>
    <row r="37" spans="1:15" x14ac:dyDescent="0.35">
      <c r="A37">
        <v>8</v>
      </c>
      <c r="B37">
        <v>0</v>
      </c>
      <c r="C37">
        <v>118.75000000000003</v>
      </c>
      <c r="D37">
        <v>124.99999999999997</v>
      </c>
      <c r="E37">
        <v>168.74999999999997</v>
      </c>
    </row>
    <row r="38" spans="1:15" x14ac:dyDescent="0.35">
      <c r="A38">
        <v>9</v>
      </c>
      <c r="B38">
        <v>0</v>
      </c>
      <c r="C38">
        <v>57.894736842105267</v>
      </c>
      <c r="D38">
        <v>110.5263157894737</v>
      </c>
      <c r="E38">
        <v>157.89473684210529</v>
      </c>
    </row>
    <row r="39" spans="1:15" x14ac:dyDescent="0.35">
      <c r="A39">
        <v>10</v>
      </c>
      <c r="B39">
        <v>0</v>
      </c>
      <c r="C39">
        <v>58.823529411764696</v>
      </c>
      <c r="D39">
        <v>100</v>
      </c>
      <c r="E39">
        <v>123.52941176470587</v>
      </c>
    </row>
    <row r="40" spans="1:15" x14ac:dyDescent="0.35">
      <c r="A40">
        <v>11</v>
      </c>
      <c r="B40">
        <v>0</v>
      </c>
      <c r="C40">
        <v>70.588235294117638</v>
      </c>
      <c r="D40">
        <v>111.7647058823529</v>
      </c>
      <c r="E40">
        <v>129.41176470588235</v>
      </c>
    </row>
    <row r="41" spans="1:15" x14ac:dyDescent="0.35">
      <c r="A41">
        <v>12</v>
      </c>
      <c r="B41">
        <v>0</v>
      </c>
      <c r="C41">
        <v>68.181818181818187</v>
      </c>
      <c r="D41">
        <v>122.72727272727275</v>
      </c>
      <c r="E41">
        <v>168.18181818181819</v>
      </c>
    </row>
    <row r="42" spans="1:15" x14ac:dyDescent="0.35">
      <c r="A42">
        <v>13</v>
      </c>
      <c r="B42">
        <v>0</v>
      </c>
      <c r="C42">
        <v>70.588235294117638</v>
      </c>
      <c r="D42">
        <v>111.7647058823529</v>
      </c>
      <c r="E42">
        <v>170.58823529411762</v>
      </c>
    </row>
    <row r="43" spans="1:15" x14ac:dyDescent="0.35">
      <c r="A43">
        <v>14</v>
      </c>
      <c r="B43">
        <v>0</v>
      </c>
      <c r="C43">
        <v>68.75</v>
      </c>
      <c r="D43">
        <v>93.75</v>
      </c>
      <c r="E43">
        <v>162.5</v>
      </c>
    </row>
    <row r="44" spans="1:15" x14ac:dyDescent="0.35">
      <c r="A44">
        <v>15</v>
      </c>
      <c r="B44">
        <v>0</v>
      </c>
      <c r="C44">
        <v>73.333333333333329</v>
      </c>
      <c r="D44">
        <v>113.33333333333336</v>
      </c>
      <c r="E44">
        <v>140</v>
      </c>
    </row>
    <row r="45" spans="1:15" x14ac:dyDescent="0.35">
      <c r="A45">
        <v>16</v>
      </c>
      <c r="B45">
        <v>0</v>
      </c>
      <c r="C45">
        <v>85.714285714285694</v>
      </c>
      <c r="D45">
        <v>119.04761904761902</v>
      </c>
      <c r="E45">
        <v>-100</v>
      </c>
    </row>
    <row r="46" spans="1:15" x14ac:dyDescent="0.35">
      <c r="A46">
        <v>17</v>
      </c>
      <c r="B46">
        <v>0</v>
      </c>
      <c r="C46">
        <v>58.823529411764696</v>
      </c>
      <c r="D46">
        <v>111.7647058823529</v>
      </c>
      <c r="E46">
        <v>129.41176470588235</v>
      </c>
    </row>
    <row r="47" spans="1:15" x14ac:dyDescent="0.35">
      <c r="A47">
        <v>18</v>
      </c>
      <c r="B47">
        <v>0</v>
      </c>
      <c r="C47">
        <v>75</v>
      </c>
      <c r="D47">
        <v>137.5</v>
      </c>
      <c r="E47">
        <v>193.75</v>
      </c>
    </row>
    <row r="48" spans="1:15" x14ac:dyDescent="0.35">
      <c r="A48">
        <v>19</v>
      </c>
      <c r="B48">
        <v>0</v>
      </c>
      <c r="C48">
        <v>83.333333333333357</v>
      </c>
      <c r="D48">
        <v>83.333333333333357</v>
      </c>
      <c r="E48">
        <v>-100</v>
      </c>
    </row>
    <row r="49" spans="1:9" x14ac:dyDescent="0.35">
      <c r="A49">
        <v>20</v>
      </c>
      <c r="B49">
        <v>0</v>
      </c>
      <c r="C49">
        <v>80</v>
      </c>
      <c r="D49">
        <v>133.33333333333337</v>
      </c>
      <c r="E49">
        <v>160</v>
      </c>
    </row>
    <row r="50" spans="1:9" x14ac:dyDescent="0.35">
      <c r="B50">
        <f>AVERAGE(B30:B49)</f>
        <v>0</v>
      </c>
      <c r="C50">
        <f t="shared" ref="C50" si="3">AVERAGE(C30:C49)</f>
        <v>72.961274063054262</v>
      </c>
      <c r="D50">
        <f t="shared" ref="D50" si="4">AVERAGE(D30:D49)</f>
        <v>114.78671070501568</v>
      </c>
      <c r="E50">
        <f t="shared" ref="E50" si="5">AVERAGE(E30:E49)</f>
        <v>130.82310879694779</v>
      </c>
    </row>
    <row r="51" spans="1:9" x14ac:dyDescent="0.35">
      <c r="B51">
        <f>_xlfn.STDEV.S(B30:B49)</f>
        <v>0</v>
      </c>
      <c r="C51">
        <f t="shared" ref="C51:E51" si="6">_xlfn.STDEV.S(C30:C49)</f>
        <v>16.560156580635343</v>
      </c>
      <c r="D51">
        <f t="shared" si="6"/>
        <v>14.241292039593226</v>
      </c>
      <c r="E51">
        <f t="shared" si="6"/>
        <v>83.11667306091077</v>
      </c>
      <c r="F51">
        <f t="shared" ref="F51" si="7">1.96*F50/SQRT(20)</f>
        <v>0</v>
      </c>
      <c r="G51">
        <f t="shared" ref="G51" si="8">1.96*G50/SQRT(20)</f>
        <v>0</v>
      </c>
      <c r="H51">
        <f t="shared" ref="H51" si="9">1.96*H50/SQRT(20)</f>
        <v>0</v>
      </c>
      <c r="I51">
        <f t="shared" ref="I51" si="10">1.96*I50/SQRT(20)</f>
        <v>0</v>
      </c>
    </row>
    <row r="52" spans="1:9" x14ac:dyDescent="0.35">
      <c r="B52">
        <f>1.96*B51/SQRT(20)</f>
        <v>0</v>
      </c>
      <c r="C52">
        <f t="shared" ref="C52" si="11">1.96*C51/SQRT(20)</f>
        <v>7.2578086231388559</v>
      </c>
      <c r="D52">
        <f t="shared" ref="D52" si="12">1.96*D51/SQRT(20)</f>
        <v>6.2415214292395875</v>
      </c>
      <c r="E52">
        <f t="shared" ref="E52" si="13">1.96*E51/SQRT(20)</f>
        <v>36.427488081453113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C0055-2EAF-48C7-B277-905246AEE88C}">
  <dimension ref="A1:E9"/>
  <sheetViews>
    <sheetView workbookViewId="0">
      <selection activeCell="H12" sqref="H12"/>
    </sheetView>
  </sheetViews>
  <sheetFormatPr defaultRowHeight="14.5" x14ac:dyDescent="0.35"/>
  <cols>
    <col min="2" max="2" width="12.08984375" customWidth="1"/>
  </cols>
  <sheetData>
    <row r="1" spans="1:5" x14ac:dyDescent="0.35">
      <c r="A1" t="s">
        <v>9</v>
      </c>
    </row>
    <row r="3" spans="1:5" x14ac:dyDescent="0.35">
      <c r="A3" t="s">
        <v>10</v>
      </c>
      <c r="B3" s="1" t="s">
        <v>13</v>
      </c>
      <c r="C3" t="s">
        <v>11</v>
      </c>
    </row>
    <row r="5" spans="1:5" x14ac:dyDescent="0.35">
      <c r="A5" t="s">
        <v>12</v>
      </c>
      <c r="B5" s="1" t="s">
        <v>8</v>
      </c>
      <c r="C5" t="s">
        <v>16</v>
      </c>
      <c r="D5" t="s">
        <v>17</v>
      </c>
      <c r="E5" t="s">
        <v>19</v>
      </c>
    </row>
    <row r="6" spans="1:5" x14ac:dyDescent="0.35">
      <c r="A6">
        <v>1</v>
      </c>
      <c r="B6" s="3">
        <v>0</v>
      </c>
      <c r="C6">
        <v>0</v>
      </c>
      <c r="D6">
        <v>0</v>
      </c>
      <c r="E6">
        <v>0</v>
      </c>
    </row>
    <row r="7" spans="1:5" x14ac:dyDescent="0.35">
      <c r="A7">
        <v>2</v>
      </c>
      <c r="B7" s="3">
        <v>0</v>
      </c>
      <c r="C7">
        <v>0</v>
      </c>
      <c r="D7">
        <v>0</v>
      </c>
      <c r="E7">
        <v>0</v>
      </c>
    </row>
    <row r="8" spans="1:5" x14ac:dyDescent="0.35">
      <c r="A8">
        <v>3</v>
      </c>
      <c r="B8" s="3">
        <v>0</v>
      </c>
      <c r="C8">
        <v>0</v>
      </c>
      <c r="D8">
        <v>0</v>
      </c>
      <c r="E8">
        <v>0</v>
      </c>
    </row>
    <row r="9" spans="1:5" x14ac:dyDescent="0.35">
      <c r="A9">
        <v>4</v>
      </c>
      <c r="B9" s="3">
        <v>0</v>
      </c>
      <c r="C9">
        <v>0</v>
      </c>
      <c r="D9">
        <v>0</v>
      </c>
      <c r="E9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928C4-2ED6-4971-9ABE-C7F703B40A9F}">
  <dimension ref="A1:D8"/>
  <sheetViews>
    <sheetView workbookViewId="0">
      <selection activeCell="M3" sqref="M3"/>
    </sheetView>
  </sheetViews>
  <sheetFormatPr defaultRowHeight="14.5" x14ac:dyDescent="0.35"/>
  <sheetData>
    <row r="1" spans="1:4" x14ac:dyDescent="0.35">
      <c r="A1" t="s">
        <v>0</v>
      </c>
    </row>
    <row r="3" spans="1:4" x14ac:dyDescent="0.35">
      <c r="B3" t="s">
        <v>1</v>
      </c>
      <c r="C3" t="s">
        <v>2</v>
      </c>
      <c r="D3" t="s">
        <v>0</v>
      </c>
    </row>
    <row r="4" spans="1:4" x14ac:dyDescent="0.35">
      <c r="B4">
        <v>9.1999999999999998E-2</v>
      </c>
      <c r="C4">
        <v>1.7999999999999999E-2</v>
      </c>
      <c r="D4">
        <f>C4/(B4+C4)</f>
        <v>0.16363636363636364</v>
      </c>
    </row>
    <row r="5" spans="1:4" x14ac:dyDescent="0.35">
      <c r="B5">
        <v>0.10199999999999999</v>
      </c>
      <c r="C5">
        <v>2.1999999999999999E-2</v>
      </c>
      <c r="D5">
        <f t="shared" ref="D5:D6" si="0">C5/(B5+C5)</f>
        <v>0.17741935483870966</v>
      </c>
    </row>
    <row r="6" spans="1:4" x14ac:dyDescent="0.35">
      <c r="B6">
        <v>0.11600000000000001</v>
      </c>
      <c r="C6">
        <v>2.5999999999999999E-2</v>
      </c>
      <c r="D6">
        <f t="shared" si="0"/>
        <v>0.18309859154929575</v>
      </c>
    </row>
    <row r="7" spans="1:4" x14ac:dyDescent="0.35">
      <c r="B7" s="6" t="s">
        <v>3</v>
      </c>
      <c r="C7" s="6"/>
      <c r="D7">
        <f>AVERAGE(D4:D6)</f>
        <v>0.17471810334145635</v>
      </c>
    </row>
    <row r="8" spans="1:4" x14ac:dyDescent="0.35">
      <c r="D8">
        <f>_xlfn.STDEV.S(D4:D6)</f>
        <v>1.0008353939199416E-2</v>
      </c>
    </row>
  </sheetData>
  <mergeCells count="1"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Imbibition</vt:lpstr>
      <vt:lpstr>Sheet1</vt:lpstr>
      <vt:lpstr>Sheet3</vt:lpstr>
      <vt:lpstr>Germination</vt:lpstr>
      <vt:lpstr>SCR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gejay</dc:creator>
  <cp:lastModifiedBy>Ranithu Jayasuriya</cp:lastModifiedBy>
  <dcterms:created xsi:type="dcterms:W3CDTF">2023-02-16T15:15:23Z</dcterms:created>
  <dcterms:modified xsi:type="dcterms:W3CDTF">2026-02-21T02:15:30Z</dcterms:modified>
</cp:coreProperties>
</file>