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AFBD3115-ADEC-4F5A-A1C6-5E2398EC1664}" xr6:coauthVersionLast="47" xr6:coauthVersionMax="47" xr10:uidLastSave="{00000000-0000-0000-0000-000000000000}"/>
  <bookViews>
    <workbookView xWindow="-110" yWindow="-110" windowWidth="19420" windowHeight="10300" activeTab="1" xr2:uid="{E2AB8640-4235-4532-ADAF-F3BAD553031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7" i="2"/>
  <c r="L8" i="2"/>
  <c r="L9" i="2"/>
  <c r="L6" i="2"/>
  <c r="D6" i="1"/>
  <c r="D5" i="1"/>
  <c r="D4" i="1"/>
  <c r="D8" i="1" l="1"/>
  <c r="D7" i="1"/>
</calcChain>
</file>

<file path=xl/sharedStrings.xml><?xml version="1.0" encoding="utf-8"?>
<sst xmlns="http://schemas.openxmlformats.org/spreadsheetml/2006/main" count="17" uniqueCount="16">
  <si>
    <t>SCR</t>
  </si>
  <si>
    <t>Embryo weight</t>
  </si>
  <si>
    <t>Seed coat weight</t>
  </si>
  <si>
    <t>Average</t>
  </si>
  <si>
    <t>NI2049</t>
  </si>
  <si>
    <t>Ger</t>
  </si>
  <si>
    <t>Start</t>
  </si>
  <si>
    <t>25 seeds</t>
  </si>
  <si>
    <t>Rep</t>
  </si>
  <si>
    <t>13/02/2023</t>
  </si>
  <si>
    <t>14/02/2023</t>
  </si>
  <si>
    <t>16/02/2023</t>
  </si>
  <si>
    <t>17/02/2023</t>
  </si>
  <si>
    <t>20/02/2023</t>
  </si>
  <si>
    <t>21/02/2023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</si>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</sst>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374C-8C3C-4D05-88E2-695A2CAFFC7E}">
  <dimension ref="A1:D8"/>
  <sheetViews>
    <sheetView workbookViewId="0">
      <selection activeCell="H8" sqref="H8"/>
    </sheetView>
  </sheetViews>
  <sheetFormatPr defaultRowHeight="14.5" x14ac:dyDescent="0.35"/>
  <cols>
    <col min="2" max="2" width="10.81640625" bestFit="1" customWidth="1"/>
  </cols>
  <sheetData>
    <row r="1" spans="1:4" x14ac:dyDescent="0.35">
      <c r="A1" t="s">
        <v>0</v>
      </c>
      <c r="B1">
        <v>1996149458</v>
      </c>
      <c r="C1">
        <v>26426</v>
      </c>
      <c r="D1" t="s">
        <v>4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0.28899999999999998</v>
      </c>
      <c r="C4">
        <v>3.5999999999999997E-2</v>
      </c>
      <c r="D4">
        <f>C4/(B4+C4)</f>
        <v>0.11076923076923077</v>
      </c>
    </row>
    <row r="5" spans="1:4" x14ac:dyDescent="0.35">
      <c r="B5">
        <v>0.28399999999999997</v>
      </c>
      <c r="C5">
        <v>3.6999999999999998E-2</v>
      </c>
      <c r="D5">
        <f t="shared" ref="D5:D6" si="0">C5/(B5+C5)</f>
        <v>0.11526479750778817</v>
      </c>
    </row>
    <row r="6" spans="1:4" x14ac:dyDescent="0.35">
      <c r="B6">
        <v>0.27700000000000002</v>
      </c>
      <c r="C6">
        <v>3.6999999999999998E-2</v>
      </c>
      <c r="D6">
        <f t="shared" si="0"/>
        <v>0.11783439490445859</v>
      </c>
    </row>
    <row r="7" spans="1:4" x14ac:dyDescent="0.35">
      <c r="B7" s="1" t="s">
        <v>3</v>
      </c>
      <c r="C7" s="1"/>
      <c r="D7">
        <f>AVERAGE(D4:D6)</f>
        <v>0.11462280772715917</v>
      </c>
    </row>
    <row r="8" spans="1:4" x14ac:dyDescent="0.35">
      <c r="D8">
        <f>_xlfn.STDEV.S(D4:D6)</f>
        <v>3.5760661659498694E-3</v>
      </c>
    </row>
  </sheetData>
  <mergeCells count="1"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0913-74DC-4703-948B-6F5F06693E2D}">
  <dimension ref="A1:L11"/>
  <sheetViews>
    <sheetView tabSelected="1" workbookViewId="0">
      <selection activeCell="I14" sqref="I14"/>
    </sheetView>
  </sheetViews>
  <sheetFormatPr defaultRowHeight="14.5" x14ac:dyDescent="0.35"/>
  <cols>
    <col min="2" max="3" width="9.453125" bestFit="1" customWidth="1"/>
  </cols>
  <sheetData>
    <row r="1" spans="1:12" x14ac:dyDescent="0.35">
      <c r="A1" t="s">
        <v>5</v>
      </c>
    </row>
    <row r="3" spans="1:12" x14ac:dyDescent="0.35">
      <c r="A3" t="s">
        <v>6</v>
      </c>
      <c r="B3" s="2">
        <v>45171</v>
      </c>
      <c r="C3" t="s">
        <v>7</v>
      </c>
    </row>
    <row r="5" spans="1:12" x14ac:dyDescent="0.35">
      <c r="A5" t="s">
        <v>8</v>
      </c>
      <c r="B5" s="2">
        <v>45201</v>
      </c>
      <c r="C5" s="2">
        <v>45262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1:12" x14ac:dyDescent="0.35">
      <c r="A6">
        <v>1</v>
      </c>
      <c r="B6" s="3">
        <v>5</v>
      </c>
      <c r="C6">
        <v>16</v>
      </c>
      <c r="D6" s="4">
        <v>3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>
        <f>K6/25 *100</f>
        <v>4</v>
      </c>
    </row>
    <row r="7" spans="1:12" x14ac:dyDescent="0.35">
      <c r="A7">
        <v>2</v>
      </c>
      <c r="B7" s="3">
        <v>4</v>
      </c>
      <c r="C7">
        <v>15</v>
      </c>
      <c r="D7">
        <v>4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f t="shared" ref="L7:L9" si="0">K7/25 *100</f>
        <v>4</v>
      </c>
    </row>
    <row r="8" spans="1:12" x14ac:dyDescent="0.35">
      <c r="A8">
        <v>3</v>
      </c>
      <c r="B8" s="3">
        <v>5</v>
      </c>
      <c r="C8">
        <v>14</v>
      </c>
      <c r="D8">
        <v>1</v>
      </c>
      <c r="E8" s="4">
        <v>4</v>
      </c>
      <c r="F8" s="4">
        <v>1</v>
      </c>
      <c r="G8" s="4"/>
      <c r="H8" s="4"/>
      <c r="I8" s="4"/>
      <c r="J8" s="4"/>
      <c r="K8">
        <v>0</v>
      </c>
      <c r="L8">
        <f t="shared" si="0"/>
        <v>0</v>
      </c>
    </row>
    <row r="9" spans="1:12" x14ac:dyDescent="0.35">
      <c r="A9">
        <v>4</v>
      </c>
      <c r="B9" s="3">
        <v>3</v>
      </c>
      <c r="C9">
        <v>13</v>
      </c>
      <c r="D9">
        <v>1</v>
      </c>
      <c r="E9" s="4">
        <v>7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>
        <f t="shared" si="0"/>
        <v>4</v>
      </c>
    </row>
    <row r="10" spans="1:12" x14ac:dyDescent="0.35">
      <c r="L10">
        <f>AVERAGE(L6:L9)</f>
        <v>3</v>
      </c>
    </row>
    <row r="11" spans="1:12" x14ac:dyDescent="0.35">
      <c r="L11">
        <f>_xlfn.STDEV.S(L6:L9)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2023-02-21T15:31:08Z</dcterms:created>
  <dcterms:modified xsi:type="dcterms:W3CDTF">2026-02-21T06:25:27Z</dcterms:modified>
</cp:coreProperties>
</file>