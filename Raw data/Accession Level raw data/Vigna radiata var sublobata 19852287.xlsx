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visit\Meise Project\Imbibition germination and SCR\"/>
    </mc:Choice>
  </mc:AlternateContent>
  <xr:revisionPtr revIDLastSave="0" documentId="13_ncr:1_{D49B8199-A611-4904-A42C-EBF3DF656656}" xr6:coauthVersionLast="47" xr6:coauthVersionMax="47" xr10:uidLastSave="{00000000-0000-0000-0000-000000000000}"/>
  <bookViews>
    <workbookView xWindow="-110" yWindow="-110" windowWidth="19420" windowHeight="10300" activeTab="1" xr2:uid="{9A6CDC94-DB4A-4151-AA35-3A882E412329}"/>
  </bookViews>
  <sheets>
    <sheet name="Imbibition" sheetId="2" r:id="rId1"/>
    <sheet name="Sheet1" sheetId="4" r:id="rId2"/>
    <sheet name="Germination" sheetId="1" r:id="rId3"/>
    <sheet name="SC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  <c r="D51" i="4" s="1"/>
  <c r="C50" i="4"/>
  <c r="C51" i="4" s="1"/>
  <c r="B50" i="4"/>
  <c r="B51" i="4" s="1"/>
  <c r="D49" i="4"/>
  <c r="C49" i="4"/>
  <c r="B49" i="4"/>
  <c r="I26" i="4"/>
  <c r="I27" i="4" s="1"/>
  <c r="H26" i="4"/>
  <c r="H27" i="4" s="1"/>
  <c r="G26" i="4"/>
  <c r="G27" i="4" s="1"/>
  <c r="F26" i="4"/>
  <c r="F27" i="4" s="1"/>
  <c r="E26" i="4"/>
  <c r="E27" i="4" s="1"/>
  <c r="D26" i="4"/>
  <c r="D27" i="4" s="1"/>
  <c r="C26" i="4"/>
  <c r="C27" i="4" s="1"/>
  <c r="B26" i="4"/>
  <c r="B27" i="4" s="1"/>
  <c r="I25" i="4"/>
  <c r="H25" i="4"/>
  <c r="G25" i="4"/>
  <c r="F25" i="4"/>
  <c r="E25" i="4"/>
  <c r="D25" i="4"/>
  <c r="C25" i="4"/>
  <c r="B25" i="4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5" i="2"/>
  <c r="G5" i="2"/>
  <c r="I5" i="2"/>
  <c r="K5" i="2"/>
  <c r="M5" i="2"/>
  <c r="O5" i="2"/>
  <c r="Q5" i="2"/>
  <c r="E6" i="2"/>
  <c r="G6" i="2"/>
  <c r="I6" i="2"/>
  <c r="K6" i="2"/>
  <c r="M6" i="2"/>
  <c r="O6" i="2"/>
  <c r="Q6" i="2"/>
  <c r="E7" i="2"/>
  <c r="G7" i="2"/>
  <c r="I7" i="2"/>
  <c r="K7" i="2"/>
  <c r="M7" i="2"/>
  <c r="O7" i="2"/>
  <c r="Q7" i="2"/>
  <c r="E8" i="2"/>
  <c r="G8" i="2"/>
  <c r="I8" i="2"/>
  <c r="K8" i="2"/>
  <c r="M8" i="2"/>
  <c r="O8" i="2"/>
  <c r="Q8" i="2"/>
  <c r="E9" i="2"/>
  <c r="G9" i="2"/>
  <c r="I9" i="2"/>
  <c r="K9" i="2"/>
  <c r="M9" i="2"/>
  <c r="O9" i="2"/>
  <c r="Q9" i="2"/>
  <c r="E10" i="2"/>
  <c r="G10" i="2"/>
  <c r="I10" i="2"/>
  <c r="K10" i="2"/>
  <c r="M10" i="2"/>
  <c r="O10" i="2"/>
  <c r="Q10" i="2"/>
  <c r="E11" i="2"/>
  <c r="G11" i="2"/>
  <c r="I11" i="2"/>
  <c r="K11" i="2"/>
  <c r="M11" i="2"/>
  <c r="O11" i="2"/>
  <c r="Q11" i="2"/>
  <c r="E12" i="2"/>
  <c r="G12" i="2"/>
  <c r="I12" i="2"/>
  <c r="K12" i="2"/>
  <c r="M12" i="2"/>
  <c r="O12" i="2"/>
  <c r="Q12" i="2"/>
  <c r="E13" i="2"/>
  <c r="G13" i="2"/>
  <c r="I13" i="2"/>
  <c r="K13" i="2"/>
  <c r="M13" i="2"/>
  <c r="O13" i="2"/>
  <c r="Q13" i="2"/>
  <c r="E14" i="2"/>
  <c r="G14" i="2"/>
  <c r="I14" i="2"/>
  <c r="K14" i="2"/>
  <c r="M14" i="2"/>
  <c r="O14" i="2"/>
  <c r="Q14" i="2"/>
  <c r="E15" i="2"/>
  <c r="G15" i="2"/>
  <c r="I15" i="2"/>
  <c r="K15" i="2"/>
  <c r="M15" i="2"/>
  <c r="O15" i="2"/>
  <c r="Q15" i="2"/>
  <c r="E16" i="2"/>
  <c r="G16" i="2"/>
  <c r="I16" i="2"/>
  <c r="K16" i="2"/>
  <c r="M16" i="2"/>
  <c r="O16" i="2"/>
  <c r="Q16" i="2"/>
  <c r="E17" i="2"/>
  <c r="G17" i="2"/>
  <c r="I17" i="2"/>
  <c r="K17" i="2"/>
  <c r="M17" i="2"/>
  <c r="O17" i="2"/>
  <c r="Q17" i="2"/>
  <c r="E18" i="2"/>
  <c r="G18" i="2"/>
  <c r="I18" i="2"/>
  <c r="K18" i="2"/>
  <c r="M18" i="2"/>
  <c r="O18" i="2"/>
  <c r="Q18" i="2"/>
  <c r="E19" i="2"/>
  <c r="G19" i="2"/>
  <c r="I19" i="2"/>
  <c r="K19" i="2"/>
  <c r="M19" i="2"/>
  <c r="O19" i="2"/>
  <c r="Q19" i="2"/>
  <c r="E20" i="2"/>
  <c r="G20" i="2"/>
  <c r="I20" i="2"/>
  <c r="K20" i="2"/>
  <c r="M20" i="2"/>
  <c r="O20" i="2"/>
  <c r="Q20" i="2"/>
  <c r="E21" i="2"/>
  <c r="G21" i="2"/>
  <c r="I21" i="2"/>
  <c r="K21" i="2"/>
  <c r="M21" i="2"/>
  <c r="O21" i="2"/>
  <c r="Q21" i="2"/>
  <c r="E22" i="2"/>
  <c r="G22" i="2"/>
  <c r="I22" i="2"/>
  <c r="K22" i="2"/>
  <c r="M22" i="2"/>
  <c r="O22" i="2"/>
  <c r="Q22" i="2"/>
  <c r="E23" i="2"/>
  <c r="G23" i="2"/>
  <c r="I23" i="2"/>
  <c r="K23" i="2"/>
  <c r="M23" i="2"/>
  <c r="O23" i="2"/>
  <c r="Q23" i="2"/>
  <c r="E24" i="2"/>
  <c r="G24" i="2"/>
  <c r="I24" i="2"/>
  <c r="K24" i="2"/>
  <c r="M24" i="2"/>
  <c r="O24" i="2"/>
  <c r="Q24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D6" i="3" l="1"/>
  <c r="D5" i="3"/>
  <c r="D4" i="3"/>
  <c r="D8" i="3" s="1"/>
  <c r="D7" i="3" l="1"/>
</calcChain>
</file>

<file path=xl/sharedStrings.xml><?xml version="1.0" encoding="utf-8"?>
<sst xmlns="http://schemas.openxmlformats.org/spreadsheetml/2006/main" count="34" uniqueCount="22">
  <si>
    <t>Ger</t>
  </si>
  <si>
    <t>Start</t>
  </si>
  <si>
    <t>25 seeds</t>
  </si>
  <si>
    <t>Rep</t>
  </si>
  <si>
    <t>17/02/2023</t>
  </si>
  <si>
    <t>15/2/2023</t>
  </si>
  <si>
    <t>16/02/2023</t>
  </si>
  <si>
    <t>Vigna radiata var sublobata</t>
  </si>
  <si>
    <t>UT</t>
  </si>
  <si>
    <t>Seed no.</t>
  </si>
  <si>
    <t>MS</t>
  </si>
  <si>
    <t>SCR</t>
  </si>
  <si>
    <t>Embryo weight</t>
  </si>
  <si>
    <t>Seed coat weight</t>
  </si>
  <si>
    <t>Average</t>
  </si>
  <si>
    <t>NI634</t>
  </si>
  <si>
    <t>20/02/2023</t>
  </si>
  <si>
    <t>21/02/2023</t>
  </si>
  <si>
    <t>22/02/2023</t>
  </si>
  <si>
    <t>24/02/2024</t>
  </si>
  <si>
    <t>24/02/2023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</si>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</sst>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/>
    <xf numFmtId="20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15048118985127"/>
          <c:y val="5.0925925925925923E-2"/>
          <c:w val="0.81229396325459313"/>
          <c:h val="0.7625998833479147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Sheet1!$L$5</c:f>
              <c:strCache>
                <c:ptCount val="1"/>
                <c:pt idx="0">
                  <c:v>NT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Sheet1!$M$12:$W$12</c:f>
                <c:numCache>
                  <c:formatCode>General</c:formatCode>
                  <c:ptCount val="11"/>
                  <c:pt idx="0">
                    <c:v>0</c:v>
                  </c:pt>
                  <c:pt idx="1">
                    <c:v>0.97999999999999909</c:v>
                  </c:pt>
                  <c:pt idx="2">
                    <c:v>0.97999999999999909</c:v>
                  </c:pt>
                  <c:pt idx="3">
                    <c:v>0.97999999999999909</c:v>
                  </c:pt>
                  <c:pt idx="4">
                    <c:v>0.97999999999999909</c:v>
                  </c:pt>
                  <c:pt idx="5">
                    <c:v>0.97999999999999909</c:v>
                  </c:pt>
                  <c:pt idx="6">
                    <c:v>0.97999999999999909</c:v>
                  </c:pt>
                  <c:pt idx="7">
                    <c:v>0.97999999999999909</c:v>
                  </c:pt>
                  <c:pt idx="8">
                    <c:v>0.97999999999999909</c:v>
                  </c:pt>
                  <c:pt idx="9">
                    <c:v>0.97999999999999909</c:v>
                  </c:pt>
                  <c:pt idx="10">
                    <c:v>0.97999999999999909</c:v>
                  </c:pt>
                </c:numCache>
              </c:numRef>
            </c:plus>
            <c:minus>
              <c:numRef>
                <c:f>Sheet1!$M$12:$W$12</c:f>
                <c:numCache>
                  <c:formatCode>General</c:formatCode>
                  <c:ptCount val="11"/>
                  <c:pt idx="0">
                    <c:v>0</c:v>
                  </c:pt>
                  <c:pt idx="1">
                    <c:v>0.97999999999999909</c:v>
                  </c:pt>
                  <c:pt idx="2">
                    <c:v>0.97999999999999909</c:v>
                  </c:pt>
                  <c:pt idx="3">
                    <c:v>0.97999999999999909</c:v>
                  </c:pt>
                  <c:pt idx="4">
                    <c:v>0.97999999999999909</c:v>
                  </c:pt>
                  <c:pt idx="5">
                    <c:v>0.97999999999999909</c:v>
                  </c:pt>
                  <c:pt idx="6">
                    <c:v>0.97999999999999909</c:v>
                  </c:pt>
                  <c:pt idx="7">
                    <c:v>0.97999999999999909</c:v>
                  </c:pt>
                  <c:pt idx="8">
                    <c:v>0.97999999999999909</c:v>
                  </c:pt>
                  <c:pt idx="9">
                    <c:v>0.97999999999999909</c:v>
                  </c:pt>
                  <c:pt idx="10">
                    <c:v>0.97999999999999909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Sheet1!$M$4:$W$4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</c:numCache>
            </c:numRef>
          </c:xVal>
          <c:yVal>
            <c:numRef>
              <c:f>Sheet1!$M$5:$W$5</c:f>
              <c:numCache>
                <c:formatCode>General</c:formatCode>
                <c:ptCount val="11"/>
                <c:pt idx="0">
                  <c:v>0</c:v>
                </c:pt>
                <c:pt idx="1">
                  <c:v>0.49999999999999956</c:v>
                </c:pt>
                <c:pt idx="2">
                  <c:v>0.49999999999999956</c:v>
                </c:pt>
                <c:pt idx="3">
                  <c:v>0.49999999999999956</c:v>
                </c:pt>
                <c:pt idx="4">
                  <c:v>0.49999999999999956</c:v>
                </c:pt>
                <c:pt idx="5">
                  <c:v>0.49999999999999956</c:v>
                </c:pt>
                <c:pt idx="6">
                  <c:v>0.49999999999999956</c:v>
                </c:pt>
                <c:pt idx="7">
                  <c:v>0.49999999999999956</c:v>
                </c:pt>
                <c:pt idx="8">
                  <c:v>0.49999999999999956</c:v>
                </c:pt>
                <c:pt idx="9">
                  <c:v>0.49999999999999956</c:v>
                </c:pt>
                <c:pt idx="10">
                  <c:v>0.49999999999999956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77-4BD3-92B7-9964D38B485F}"/>
            </c:ext>
          </c:extLst>
        </c:ser>
        <c:ser>
          <c:idx val="1"/>
          <c:order val="1"/>
          <c:tx>
            <c:strRef>
              <c:f>Sheet1!$L$6</c:f>
              <c:strCache>
                <c:ptCount val="1"/>
                <c:pt idx="0">
                  <c:v>MS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Sheet1!$M$13:$O$13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10.216538236411687</c:v>
                  </c:pt>
                  <c:pt idx="2">
                    <c:v>7.7639359551193419</c:v>
                  </c:pt>
                </c:numCache>
              </c:numRef>
            </c:plus>
            <c:minus>
              <c:numRef>
                <c:f>Sheet1!$M$13:$O$13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10.216538236411687</c:v>
                  </c:pt>
                  <c:pt idx="2">
                    <c:v>7.7639359551193419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Sheet1!$M$4:$W$4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</c:numCache>
            </c:numRef>
          </c:xVal>
          <c:yVal>
            <c:numRef>
              <c:f>Sheet1!$M$6:$W$6</c:f>
              <c:numCache>
                <c:formatCode>General</c:formatCode>
                <c:ptCount val="11"/>
                <c:pt idx="0">
                  <c:v>0</c:v>
                </c:pt>
                <c:pt idx="1">
                  <c:v>55.114718614718619</c:v>
                </c:pt>
                <c:pt idx="2">
                  <c:v>137.16640304140307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77-4BD3-92B7-9964D38B4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207487"/>
        <c:axId val="235216127"/>
      </c:scatterChart>
      <c:valAx>
        <c:axId val="235207487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16127"/>
        <c:crosses val="autoZero"/>
        <c:crossBetween val="midCat"/>
        <c:majorUnit val="48"/>
      </c:valAx>
      <c:valAx>
        <c:axId val="235216127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0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106933508311462"/>
          <c:y val="0.40335593467483222"/>
          <c:w val="0.2334168853893263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568325</xdr:colOff>
      <xdr:row>1</xdr:row>
      <xdr:rowOff>136525</xdr:rowOff>
    </xdr:from>
    <xdr:to>
      <xdr:col>11</xdr:col>
      <xdr:colOff>263525</xdr:colOff>
      <xdr:row>16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8D450D-34B1-66B8-3746-B3C9932F2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7943-BA7B-4C39-8905-BA81D5D204E3}">
  <dimension ref="A1:Q48"/>
  <sheetViews>
    <sheetView workbookViewId="0">
      <selection sqref="A1:XFD1048576"/>
    </sheetView>
  </sheetViews>
  <sheetFormatPr defaultRowHeight="14.5" x14ac:dyDescent="0.35"/>
  <cols>
    <col min="6" max="6" width="10.81640625" bestFit="1" customWidth="1"/>
    <col min="7" max="7" width="10.81640625" customWidth="1"/>
    <col min="8" max="9" width="11.54296875" customWidth="1"/>
  </cols>
  <sheetData>
    <row r="1" spans="1:17" x14ac:dyDescent="0.35">
      <c r="A1" t="s">
        <v>7</v>
      </c>
    </row>
    <row r="2" spans="1:17" x14ac:dyDescent="0.35">
      <c r="B2" t="s">
        <v>8</v>
      </c>
      <c r="D2">
        <v>11423</v>
      </c>
      <c r="F2">
        <v>19852287</v>
      </c>
      <c r="H2" t="s">
        <v>15</v>
      </c>
    </row>
    <row r="3" spans="1:17" x14ac:dyDescent="0.35">
      <c r="B3" s="6" t="s">
        <v>6</v>
      </c>
      <c r="C3" s="6"/>
      <c r="D3" s="7"/>
      <c r="E3" s="7"/>
      <c r="F3" s="7"/>
      <c r="G3" s="5"/>
      <c r="H3" s="1" t="s">
        <v>4</v>
      </c>
      <c r="I3" s="1"/>
      <c r="J3" t="s">
        <v>16</v>
      </c>
      <c r="L3" t="s">
        <v>17</v>
      </c>
      <c r="N3" t="s">
        <v>18</v>
      </c>
      <c r="P3" t="s">
        <v>19</v>
      </c>
    </row>
    <row r="4" spans="1:17" x14ac:dyDescent="0.35">
      <c r="A4" t="s">
        <v>9</v>
      </c>
      <c r="B4" s="3">
        <v>0.34722222222222227</v>
      </c>
      <c r="C4" s="3"/>
      <c r="D4" s="3">
        <v>0.47222222222222227</v>
      </c>
      <c r="E4" s="3"/>
      <c r="F4" s="3">
        <v>0.59722222222222221</v>
      </c>
      <c r="G4" s="3"/>
      <c r="H4" s="3">
        <v>0.34722222222222227</v>
      </c>
      <c r="I4" s="3"/>
    </row>
    <row r="5" spans="1:17" x14ac:dyDescent="0.35">
      <c r="A5">
        <v>1</v>
      </c>
      <c r="B5">
        <v>1.2999999999999999E-2</v>
      </c>
      <c r="C5">
        <f>(B5-B5)/B5 *100</f>
        <v>0</v>
      </c>
      <c r="D5">
        <v>1.2999999999999999E-2</v>
      </c>
      <c r="E5">
        <f>(D5-B5)/B5 *100</f>
        <v>0</v>
      </c>
      <c r="F5">
        <v>1.2999999999999999E-2</v>
      </c>
      <c r="G5">
        <f>(F5-B5)/B5 *100</f>
        <v>0</v>
      </c>
      <c r="H5">
        <v>1.2999999999999999E-2</v>
      </c>
      <c r="I5">
        <f>(H5-B5)/B5 *100</f>
        <v>0</v>
      </c>
      <c r="J5">
        <v>1.2999999999999999E-2</v>
      </c>
      <c r="K5">
        <f>(J5-B5)/B5 *100</f>
        <v>0</v>
      </c>
      <c r="L5">
        <v>1.2999999999999999E-2</v>
      </c>
      <c r="M5">
        <f>(L5-B5)/B5 *100</f>
        <v>0</v>
      </c>
      <c r="N5">
        <v>1.2999999999999999E-2</v>
      </c>
      <c r="O5">
        <f>(N5-B5)/B5 *100</f>
        <v>0</v>
      </c>
      <c r="P5">
        <v>1.2999999999999999E-2</v>
      </c>
      <c r="Q5">
        <f>(P5-B5)/B5 *100</f>
        <v>0</v>
      </c>
    </row>
    <row r="6" spans="1:17" x14ac:dyDescent="0.35">
      <c r="A6">
        <v>2</v>
      </c>
      <c r="B6">
        <v>0.01</v>
      </c>
      <c r="C6">
        <f t="shared" ref="C6:C24" si="0">(B6-B6)/B6 *100</f>
        <v>0</v>
      </c>
      <c r="D6">
        <v>0.01</v>
      </c>
      <c r="E6">
        <f t="shared" ref="E6:E24" si="1">(D6-B6)/B6 *100</f>
        <v>0</v>
      </c>
      <c r="F6">
        <v>0.01</v>
      </c>
      <c r="G6">
        <f t="shared" ref="G6:G24" si="2">(F6-B6)/B6 *100</f>
        <v>0</v>
      </c>
      <c r="H6">
        <v>0.01</v>
      </c>
      <c r="I6">
        <f t="shared" ref="I6:I24" si="3">(H6-B6)/B6 *100</f>
        <v>0</v>
      </c>
      <c r="J6">
        <v>0.01</v>
      </c>
      <c r="K6">
        <f t="shared" ref="K6:K24" si="4">(J6-B6)/B6 *100</f>
        <v>0</v>
      </c>
      <c r="L6">
        <v>0.01</v>
      </c>
      <c r="M6">
        <f t="shared" ref="M6:M24" si="5">(L6-B6)/B6 *100</f>
        <v>0</v>
      </c>
      <c r="N6">
        <v>0.01</v>
      </c>
      <c r="O6">
        <f t="shared" ref="O6:O24" si="6">(N6-B6)/B6 *100</f>
        <v>0</v>
      </c>
      <c r="P6">
        <v>0.01</v>
      </c>
      <c r="Q6">
        <f t="shared" ref="Q6:Q24" si="7">(P6-B6)/B6 *100</f>
        <v>0</v>
      </c>
    </row>
    <row r="7" spans="1:17" x14ac:dyDescent="0.35">
      <c r="A7">
        <v>3</v>
      </c>
      <c r="B7">
        <v>1.2999999999999999E-2</v>
      </c>
      <c r="C7">
        <f t="shared" si="0"/>
        <v>0</v>
      </c>
      <c r="D7">
        <v>1.2999999999999999E-2</v>
      </c>
      <c r="E7">
        <f t="shared" si="1"/>
        <v>0</v>
      </c>
      <c r="F7">
        <v>1.2999999999999999E-2</v>
      </c>
      <c r="G7">
        <f t="shared" si="2"/>
        <v>0</v>
      </c>
      <c r="H7">
        <v>1.2999999999999999E-2</v>
      </c>
      <c r="I7">
        <f t="shared" si="3"/>
        <v>0</v>
      </c>
      <c r="J7">
        <v>1.2999999999999999E-2</v>
      </c>
      <c r="K7">
        <f t="shared" si="4"/>
        <v>0</v>
      </c>
      <c r="L7">
        <v>1.2999999999999999E-2</v>
      </c>
      <c r="M7">
        <f t="shared" si="5"/>
        <v>0</v>
      </c>
      <c r="N7">
        <v>1.2999999999999999E-2</v>
      </c>
      <c r="O7">
        <f t="shared" si="6"/>
        <v>0</v>
      </c>
      <c r="P7">
        <v>1.2999999999999999E-2</v>
      </c>
      <c r="Q7">
        <f t="shared" si="7"/>
        <v>0</v>
      </c>
    </row>
    <row r="8" spans="1:17" x14ac:dyDescent="0.35">
      <c r="A8">
        <v>4</v>
      </c>
      <c r="B8">
        <v>1.2E-2</v>
      </c>
      <c r="C8">
        <f t="shared" si="0"/>
        <v>0</v>
      </c>
      <c r="D8">
        <v>1.2E-2</v>
      </c>
      <c r="E8">
        <f t="shared" si="1"/>
        <v>0</v>
      </c>
      <c r="F8">
        <v>1.2E-2</v>
      </c>
      <c r="G8">
        <f t="shared" si="2"/>
        <v>0</v>
      </c>
      <c r="H8">
        <v>1.2E-2</v>
      </c>
      <c r="I8">
        <f t="shared" si="3"/>
        <v>0</v>
      </c>
      <c r="J8">
        <v>1.2E-2</v>
      </c>
      <c r="K8">
        <f t="shared" si="4"/>
        <v>0</v>
      </c>
      <c r="L8">
        <v>1.2E-2</v>
      </c>
      <c r="M8">
        <f t="shared" si="5"/>
        <v>0</v>
      </c>
      <c r="N8">
        <v>1.2E-2</v>
      </c>
      <c r="O8">
        <f t="shared" si="6"/>
        <v>0</v>
      </c>
      <c r="P8">
        <v>1.2E-2</v>
      </c>
      <c r="Q8">
        <f t="shared" si="7"/>
        <v>0</v>
      </c>
    </row>
    <row r="9" spans="1:17" x14ac:dyDescent="0.35">
      <c r="A9">
        <v>5</v>
      </c>
      <c r="B9">
        <v>1.0999999999999999E-2</v>
      </c>
      <c r="C9">
        <f t="shared" si="0"/>
        <v>0</v>
      </c>
      <c r="D9">
        <v>1.0999999999999999E-2</v>
      </c>
      <c r="E9">
        <f t="shared" si="1"/>
        <v>0</v>
      </c>
      <c r="F9">
        <v>1.0999999999999999E-2</v>
      </c>
      <c r="G9">
        <f t="shared" si="2"/>
        <v>0</v>
      </c>
      <c r="H9">
        <v>1.0999999999999999E-2</v>
      </c>
      <c r="I9">
        <f t="shared" si="3"/>
        <v>0</v>
      </c>
      <c r="J9">
        <v>1.0999999999999999E-2</v>
      </c>
      <c r="K9">
        <f t="shared" si="4"/>
        <v>0</v>
      </c>
      <c r="L9">
        <v>1.0999999999999999E-2</v>
      </c>
      <c r="M9">
        <f t="shared" si="5"/>
        <v>0</v>
      </c>
      <c r="N9">
        <v>1.0999999999999999E-2</v>
      </c>
      <c r="O9">
        <f t="shared" si="6"/>
        <v>0</v>
      </c>
      <c r="P9">
        <v>1.0999999999999999E-2</v>
      </c>
      <c r="Q9">
        <f t="shared" si="7"/>
        <v>0</v>
      </c>
    </row>
    <row r="10" spans="1:17" x14ac:dyDescent="0.35">
      <c r="A10">
        <v>6</v>
      </c>
      <c r="B10">
        <v>1.2E-2</v>
      </c>
      <c r="C10">
        <f t="shared" si="0"/>
        <v>0</v>
      </c>
      <c r="D10">
        <v>1.2E-2</v>
      </c>
      <c r="E10">
        <f t="shared" si="1"/>
        <v>0</v>
      </c>
      <c r="F10">
        <v>1.2E-2</v>
      </c>
      <c r="G10">
        <f t="shared" si="2"/>
        <v>0</v>
      </c>
      <c r="H10">
        <v>1.2E-2</v>
      </c>
      <c r="I10">
        <f t="shared" si="3"/>
        <v>0</v>
      </c>
      <c r="J10">
        <v>1.2E-2</v>
      </c>
      <c r="K10">
        <f t="shared" si="4"/>
        <v>0</v>
      </c>
      <c r="L10">
        <v>1.2E-2</v>
      </c>
      <c r="M10">
        <f t="shared" si="5"/>
        <v>0</v>
      </c>
      <c r="N10">
        <v>1.2E-2</v>
      </c>
      <c r="O10">
        <f t="shared" si="6"/>
        <v>0</v>
      </c>
      <c r="P10">
        <v>1.2E-2</v>
      </c>
      <c r="Q10">
        <f t="shared" si="7"/>
        <v>0</v>
      </c>
    </row>
    <row r="11" spans="1:17" x14ac:dyDescent="0.35">
      <c r="A11">
        <v>7</v>
      </c>
      <c r="B11">
        <v>8.9999999999999993E-3</v>
      </c>
      <c r="C11">
        <f t="shared" si="0"/>
        <v>0</v>
      </c>
      <c r="D11">
        <v>8.9999999999999993E-3</v>
      </c>
      <c r="E11">
        <f t="shared" si="1"/>
        <v>0</v>
      </c>
      <c r="F11">
        <v>8.9999999999999993E-3</v>
      </c>
      <c r="G11">
        <f t="shared" si="2"/>
        <v>0</v>
      </c>
      <c r="H11">
        <v>8.9999999999999993E-3</v>
      </c>
      <c r="I11">
        <f t="shared" si="3"/>
        <v>0</v>
      </c>
      <c r="J11">
        <v>8.9999999999999993E-3</v>
      </c>
      <c r="K11">
        <f t="shared" si="4"/>
        <v>0</v>
      </c>
      <c r="L11">
        <v>8.9999999999999993E-3</v>
      </c>
      <c r="M11">
        <f t="shared" si="5"/>
        <v>0</v>
      </c>
      <c r="N11">
        <v>8.9999999999999993E-3</v>
      </c>
      <c r="O11">
        <f t="shared" si="6"/>
        <v>0</v>
      </c>
      <c r="P11">
        <v>8.9999999999999993E-3</v>
      </c>
      <c r="Q11">
        <f t="shared" si="7"/>
        <v>0</v>
      </c>
    </row>
    <row r="12" spans="1:17" x14ac:dyDescent="0.35">
      <c r="A12">
        <v>8</v>
      </c>
      <c r="B12">
        <v>8.9999999999999993E-3</v>
      </c>
      <c r="C12">
        <f t="shared" si="0"/>
        <v>0</v>
      </c>
      <c r="D12">
        <v>8.9999999999999993E-3</v>
      </c>
      <c r="E12">
        <f t="shared" si="1"/>
        <v>0</v>
      </c>
      <c r="F12">
        <v>8.9999999999999993E-3</v>
      </c>
      <c r="G12">
        <f t="shared" si="2"/>
        <v>0</v>
      </c>
      <c r="H12">
        <v>8.9999999999999993E-3</v>
      </c>
      <c r="I12">
        <f t="shared" si="3"/>
        <v>0</v>
      </c>
      <c r="J12">
        <v>8.9999999999999993E-3</v>
      </c>
      <c r="K12">
        <f t="shared" si="4"/>
        <v>0</v>
      </c>
      <c r="L12">
        <v>8.9999999999999993E-3</v>
      </c>
      <c r="M12">
        <f t="shared" si="5"/>
        <v>0</v>
      </c>
      <c r="N12">
        <v>8.9999999999999993E-3</v>
      </c>
      <c r="O12">
        <f t="shared" si="6"/>
        <v>0</v>
      </c>
      <c r="P12">
        <v>8.9999999999999993E-3</v>
      </c>
      <c r="Q12">
        <f t="shared" si="7"/>
        <v>0</v>
      </c>
    </row>
    <row r="13" spans="1:17" x14ac:dyDescent="0.35">
      <c r="A13">
        <v>9</v>
      </c>
      <c r="B13">
        <v>0.01</v>
      </c>
      <c r="C13">
        <f t="shared" si="0"/>
        <v>0</v>
      </c>
      <c r="D13">
        <v>0.01</v>
      </c>
      <c r="E13">
        <f t="shared" si="1"/>
        <v>0</v>
      </c>
      <c r="F13">
        <v>0.01</v>
      </c>
      <c r="G13">
        <f t="shared" si="2"/>
        <v>0</v>
      </c>
      <c r="H13">
        <v>0.01</v>
      </c>
      <c r="I13">
        <f t="shared" si="3"/>
        <v>0</v>
      </c>
      <c r="J13">
        <v>0.01</v>
      </c>
      <c r="K13">
        <f t="shared" si="4"/>
        <v>0</v>
      </c>
      <c r="L13">
        <v>0.01</v>
      </c>
      <c r="M13">
        <f t="shared" si="5"/>
        <v>0</v>
      </c>
      <c r="N13">
        <v>0.01</v>
      </c>
      <c r="O13">
        <f t="shared" si="6"/>
        <v>0</v>
      </c>
      <c r="P13">
        <v>0.01</v>
      </c>
      <c r="Q13">
        <f t="shared" si="7"/>
        <v>0</v>
      </c>
    </row>
    <row r="14" spans="1:17" x14ac:dyDescent="0.35">
      <c r="A14">
        <v>10</v>
      </c>
      <c r="B14">
        <v>1.2999999999999999E-2</v>
      </c>
      <c r="C14">
        <f t="shared" si="0"/>
        <v>0</v>
      </c>
      <c r="D14">
        <v>1.2999999999999999E-2</v>
      </c>
      <c r="E14">
        <f t="shared" si="1"/>
        <v>0</v>
      </c>
      <c r="F14">
        <v>1.2999999999999999E-2</v>
      </c>
      <c r="G14">
        <f t="shared" si="2"/>
        <v>0</v>
      </c>
      <c r="H14">
        <v>1.2999999999999999E-2</v>
      </c>
      <c r="I14">
        <f t="shared" si="3"/>
        <v>0</v>
      </c>
      <c r="J14">
        <v>1.2999999999999999E-2</v>
      </c>
      <c r="K14">
        <f t="shared" si="4"/>
        <v>0</v>
      </c>
      <c r="L14">
        <v>1.2999999999999999E-2</v>
      </c>
      <c r="M14">
        <f t="shared" si="5"/>
        <v>0</v>
      </c>
      <c r="N14">
        <v>1.2999999999999999E-2</v>
      </c>
      <c r="O14">
        <f t="shared" si="6"/>
        <v>0</v>
      </c>
      <c r="P14">
        <v>1.2999999999999999E-2</v>
      </c>
      <c r="Q14">
        <f t="shared" si="7"/>
        <v>0</v>
      </c>
    </row>
    <row r="15" spans="1:17" x14ac:dyDescent="0.35">
      <c r="A15">
        <v>11</v>
      </c>
      <c r="B15">
        <v>1.0999999999999999E-2</v>
      </c>
      <c r="C15">
        <f t="shared" si="0"/>
        <v>0</v>
      </c>
      <c r="D15">
        <v>1.0999999999999999E-2</v>
      </c>
      <c r="E15">
        <f t="shared" si="1"/>
        <v>0</v>
      </c>
      <c r="F15">
        <v>1.0999999999999999E-2</v>
      </c>
      <c r="G15">
        <f t="shared" si="2"/>
        <v>0</v>
      </c>
      <c r="H15">
        <v>1.0999999999999999E-2</v>
      </c>
      <c r="I15">
        <f t="shared" si="3"/>
        <v>0</v>
      </c>
      <c r="J15">
        <v>1.0999999999999999E-2</v>
      </c>
      <c r="K15">
        <f t="shared" si="4"/>
        <v>0</v>
      </c>
      <c r="L15">
        <v>1.0999999999999999E-2</v>
      </c>
      <c r="M15">
        <f t="shared" si="5"/>
        <v>0</v>
      </c>
      <c r="N15">
        <v>1.0999999999999999E-2</v>
      </c>
      <c r="O15">
        <f t="shared" si="6"/>
        <v>0</v>
      </c>
      <c r="P15">
        <v>1.0999999999999999E-2</v>
      </c>
      <c r="Q15">
        <f t="shared" si="7"/>
        <v>0</v>
      </c>
    </row>
    <row r="16" spans="1:17" x14ac:dyDescent="0.35">
      <c r="A16">
        <v>12</v>
      </c>
      <c r="B16">
        <v>1.2E-2</v>
      </c>
      <c r="C16">
        <f t="shared" si="0"/>
        <v>0</v>
      </c>
      <c r="D16">
        <v>1.2E-2</v>
      </c>
      <c r="E16">
        <f t="shared" si="1"/>
        <v>0</v>
      </c>
      <c r="F16">
        <v>1.2E-2</v>
      </c>
      <c r="G16">
        <f t="shared" si="2"/>
        <v>0</v>
      </c>
      <c r="H16">
        <v>1.2E-2</v>
      </c>
      <c r="I16">
        <f t="shared" si="3"/>
        <v>0</v>
      </c>
      <c r="J16">
        <v>1.2E-2</v>
      </c>
      <c r="K16">
        <f t="shared" si="4"/>
        <v>0</v>
      </c>
      <c r="L16">
        <v>1.2E-2</v>
      </c>
      <c r="M16">
        <f t="shared" si="5"/>
        <v>0</v>
      </c>
      <c r="N16">
        <v>1.2E-2</v>
      </c>
      <c r="O16">
        <f t="shared" si="6"/>
        <v>0</v>
      </c>
      <c r="P16">
        <v>1.2E-2</v>
      </c>
      <c r="Q16">
        <f t="shared" si="7"/>
        <v>0</v>
      </c>
    </row>
    <row r="17" spans="1:17" x14ac:dyDescent="0.35">
      <c r="A17">
        <v>13</v>
      </c>
      <c r="B17">
        <v>1.0999999999999999E-2</v>
      </c>
      <c r="C17">
        <f t="shared" si="0"/>
        <v>0</v>
      </c>
      <c r="D17">
        <v>1.0999999999999999E-2</v>
      </c>
      <c r="E17">
        <f t="shared" si="1"/>
        <v>0</v>
      </c>
      <c r="F17">
        <v>1.0999999999999999E-2</v>
      </c>
      <c r="G17">
        <f t="shared" si="2"/>
        <v>0</v>
      </c>
      <c r="H17">
        <v>1.0999999999999999E-2</v>
      </c>
      <c r="I17">
        <f t="shared" si="3"/>
        <v>0</v>
      </c>
      <c r="J17">
        <v>1.0999999999999999E-2</v>
      </c>
      <c r="K17">
        <f t="shared" si="4"/>
        <v>0</v>
      </c>
      <c r="L17">
        <v>1.0999999999999999E-2</v>
      </c>
      <c r="M17">
        <f t="shared" si="5"/>
        <v>0</v>
      </c>
      <c r="N17">
        <v>1.0999999999999999E-2</v>
      </c>
      <c r="O17">
        <f t="shared" si="6"/>
        <v>0</v>
      </c>
      <c r="P17">
        <v>1.0999999999999999E-2</v>
      </c>
      <c r="Q17">
        <f t="shared" si="7"/>
        <v>0</v>
      </c>
    </row>
    <row r="18" spans="1:17" x14ac:dyDescent="0.35">
      <c r="A18">
        <v>14</v>
      </c>
      <c r="B18">
        <v>1.0999999999999999E-2</v>
      </c>
      <c r="C18">
        <f t="shared" si="0"/>
        <v>0</v>
      </c>
      <c r="D18">
        <v>1.0999999999999999E-2</v>
      </c>
      <c r="E18">
        <f t="shared" si="1"/>
        <v>0</v>
      </c>
      <c r="F18">
        <v>1.0999999999999999E-2</v>
      </c>
      <c r="G18">
        <f t="shared" si="2"/>
        <v>0</v>
      </c>
      <c r="H18">
        <v>1.0999999999999999E-2</v>
      </c>
      <c r="I18">
        <f t="shared" si="3"/>
        <v>0</v>
      </c>
      <c r="J18">
        <v>1.0999999999999999E-2</v>
      </c>
      <c r="K18">
        <f t="shared" si="4"/>
        <v>0</v>
      </c>
      <c r="L18">
        <v>1.0999999999999999E-2</v>
      </c>
      <c r="M18">
        <f t="shared" si="5"/>
        <v>0</v>
      </c>
      <c r="N18">
        <v>1.0999999999999999E-2</v>
      </c>
      <c r="O18">
        <f t="shared" si="6"/>
        <v>0</v>
      </c>
      <c r="P18">
        <v>1.0999999999999999E-2</v>
      </c>
      <c r="Q18">
        <f t="shared" si="7"/>
        <v>0</v>
      </c>
    </row>
    <row r="19" spans="1:17" x14ac:dyDescent="0.35">
      <c r="A19">
        <v>15</v>
      </c>
      <c r="B19">
        <v>1.2E-2</v>
      </c>
      <c r="C19">
        <f t="shared" si="0"/>
        <v>0</v>
      </c>
      <c r="D19">
        <v>1.2E-2</v>
      </c>
      <c r="E19">
        <f t="shared" si="1"/>
        <v>0</v>
      </c>
      <c r="F19">
        <v>1.2E-2</v>
      </c>
      <c r="G19">
        <f t="shared" si="2"/>
        <v>0</v>
      </c>
      <c r="H19">
        <v>1.2E-2</v>
      </c>
      <c r="I19">
        <f t="shared" si="3"/>
        <v>0</v>
      </c>
      <c r="J19">
        <v>1.2E-2</v>
      </c>
      <c r="K19">
        <f t="shared" si="4"/>
        <v>0</v>
      </c>
      <c r="L19">
        <v>1.2E-2</v>
      </c>
      <c r="M19">
        <f t="shared" si="5"/>
        <v>0</v>
      </c>
      <c r="N19">
        <v>1.2E-2</v>
      </c>
      <c r="O19">
        <f t="shared" si="6"/>
        <v>0</v>
      </c>
      <c r="P19">
        <v>1.2E-2</v>
      </c>
      <c r="Q19">
        <f t="shared" si="7"/>
        <v>0</v>
      </c>
    </row>
    <row r="20" spans="1:17" x14ac:dyDescent="0.35">
      <c r="A20">
        <v>16</v>
      </c>
      <c r="B20">
        <v>1.4E-2</v>
      </c>
      <c r="C20">
        <f t="shared" si="0"/>
        <v>0</v>
      </c>
      <c r="D20">
        <v>1.4E-2</v>
      </c>
      <c r="E20">
        <f t="shared" si="1"/>
        <v>0</v>
      </c>
      <c r="F20">
        <v>1.4E-2</v>
      </c>
      <c r="G20">
        <f t="shared" si="2"/>
        <v>0</v>
      </c>
      <c r="H20">
        <v>1.4E-2</v>
      </c>
      <c r="I20">
        <f t="shared" si="3"/>
        <v>0</v>
      </c>
      <c r="J20">
        <v>1.4E-2</v>
      </c>
      <c r="K20">
        <f t="shared" si="4"/>
        <v>0</v>
      </c>
      <c r="L20">
        <v>1.4E-2</v>
      </c>
      <c r="M20">
        <f t="shared" si="5"/>
        <v>0</v>
      </c>
      <c r="N20">
        <v>1.4E-2</v>
      </c>
      <c r="O20">
        <f t="shared" si="6"/>
        <v>0</v>
      </c>
      <c r="P20">
        <v>1.4E-2</v>
      </c>
      <c r="Q20">
        <f t="shared" si="7"/>
        <v>0</v>
      </c>
    </row>
    <row r="21" spans="1:17" x14ac:dyDescent="0.35">
      <c r="A21">
        <v>17</v>
      </c>
      <c r="B21">
        <v>1.0999999999999999E-2</v>
      </c>
      <c r="C21">
        <f t="shared" si="0"/>
        <v>0</v>
      </c>
      <c r="D21">
        <v>1.0999999999999999E-2</v>
      </c>
      <c r="E21">
        <f t="shared" si="1"/>
        <v>0</v>
      </c>
      <c r="F21">
        <v>1.0999999999999999E-2</v>
      </c>
      <c r="G21">
        <f t="shared" si="2"/>
        <v>0</v>
      </c>
      <c r="H21">
        <v>1.0999999999999999E-2</v>
      </c>
      <c r="I21">
        <f t="shared" si="3"/>
        <v>0</v>
      </c>
      <c r="J21">
        <v>1.0999999999999999E-2</v>
      </c>
      <c r="K21">
        <f t="shared" si="4"/>
        <v>0</v>
      </c>
      <c r="L21">
        <v>1.0999999999999999E-2</v>
      </c>
      <c r="M21">
        <f t="shared" si="5"/>
        <v>0</v>
      </c>
      <c r="N21">
        <v>1.0999999999999999E-2</v>
      </c>
      <c r="O21">
        <f t="shared" si="6"/>
        <v>0</v>
      </c>
      <c r="P21">
        <v>1.0999999999999999E-2</v>
      </c>
      <c r="Q21">
        <f t="shared" si="7"/>
        <v>0</v>
      </c>
    </row>
    <row r="22" spans="1:17" x14ac:dyDescent="0.35">
      <c r="A22">
        <v>18</v>
      </c>
      <c r="B22">
        <v>0.01</v>
      </c>
      <c r="C22">
        <f t="shared" si="0"/>
        <v>0</v>
      </c>
      <c r="D22">
        <v>1.0999999999999999E-2</v>
      </c>
      <c r="E22">
        <f t="shared" si="1"/>
        <v>9.9999999999999911</v>
      </c>
      <c r="F22">
        <v>1.0999999999999999E-2</v>
      </c>
      <c r="G22">
        <f t="shared" si="2"/>
        <v>9.9999999999999911</v>
      </c>
      <c r="H22">
        <v>1.0999999999999999E-2</v>
      </c>
      <c r="I22">
        <f t="shared" si="3"/>
        <v>9.9999999999999911</v>
      </c>
      <c r="J22">
        <v>1.0999999999999999E-2</v>
      </c>
      <c r="K22">
        <f t="shared" si="4"/>
        <v>9.9999999999999911</v>
      </c>
      <c r="L22">
        <v>1.0999999999999999E-2</v>
      </c>
      <c r="M22">
        <f t="shared" si="5"/>
        <v>9.9999999999999911</v>
      </c>
      <c r="N22">
        <v>1.0999999999999999E-2</v>
      </c>
      <c r="O22">
        <f t="shared" si="6"/>
        <v>9.9999999999999911</v>
      </c>
      <c r="P22">
        <v>1.0999999999999999E-2</v>
      </c>
      <c r="Q22">
        <f t="shared" si="7"/>
        <v>9.9999999999999911</v>
      </c>
    </row>
    <row r="23" spans="1:17" x14ac:dyDescent="0.35">
      <c r="A23">
        <v>19</v>
      </c>
      <c r="B23">
        <v>1.2E-2</v>
      </c>
      <c r="C23">
        <f t="shared" si="0"/>
        <v>0</v>
      </c>
      <c r="D23">
        <v>1.2E-2</v>
      </c>
      <c r="E23">
        <f t="shared" si="1"/>
        <v>0</v>
      </c>
      <c r="F23">
        <v>1.2E-2</v>
      </c>
      <c r="G23">
        <f t="shared" si="2"/>
        <v>0</v>
      </c>
      <c r="H23">
        <v>1.2E-2</v>
      </c>
      <c r="I23">
        <f t="shared" si="3"/>
        <v>0</v>
      </c>
      <c r="J23">
        <v>1.2E-2</v>
      </c>
      <c r="K23">
        <f t="shared" si="4"/>
        <v>0</v>
      </c>
      <c r="L23">
        <v>1.2E-2</v>
      </c>
      <c r="M23">
        <f t="shared" si="5"/>
        <v>0</v>
      </c>
      <c r="N23">
        <v>1.2E-2</v>
      </c>
      <c r="O23">
        <f t="shared" si="6"/>
        <v>0</v>
      </c>
      <c r="P23">
        <v>1.2E-2</v>
      </c>
      <c r="Q23">
        <f t="shared" si="7"/>
        <v>0</v>
      </c>
    </row>
    <row r="24" spans="1:17" x14ac:dyDescent="0.35">
      <c r="A24">
        <v>20</v>
      </c>
      <c r="B24">
        <v>1.4E-2</v>
      </c>
      <c r="C24">
        <f t="shared" si="0"/>
        <v>0</v>
      </c>
      <c r="D24">
        <v>1.4E-2</v>
      </c>
      <c r="E24">
        <f t="shared" si="1"/>
        <v>0</v>
      </c>
      <c r="F24">
        <v>1.4E-2</v>
      </c>
      <c r="G24">
        <f t="shared" si="2"/>
        <v>0</v>
      </c>
      <c r="H24">
        <v>1.4E-2</v>
      </c>
      <c r="I24">
        <f t="shared" si="3"/>
        <v>0</v>
      </c>
      <c r="J24">
        <v>1.4E-2</v>
      </c>
      <c r="K24">
        <f t="shared" si="4"/>
        <v>0</v>
      </c>
      <c r="L24">
        <v>1.4E-2</v>
      </c>
      <c r="M24">
        <f t="shared" si="5"/>
        <v>0</v>
      </c>
      <c r="N24">
        <v>1.4E-2</v>
      </c>
      <c r="O24">
        <f t="shared" si="6"/>
        <v>0</v>
      </c>
      <c r="P24">
        <v>1.4E-2</v>
      </c>
      <c r="Q24">
        <f t="shared" si="7"/>
        <v>0</v>
      </c>
    </row>
    <row r="26" spans="1:17" x14ac:dyDescent="0.35">
      <c r="B26" t="s">
        <v>10</v>
      </c>
    </row>
    <row r="27" spans="1:17" x14ac:dyDescent="0.35">
      <c r="B27" s="6" t="s">
        <v>6</v>
      </c>
      <c r="C27" s="6"/>
      <c r="D27" s="7"/>
      <c r="E27" s="7"/>
      <c r="F27" s="7"/>
      <c r="G27" s="5"/>
      <c r="H27" s="1"/>
      <c r="I27" s="1"/>
    </row>
    <row r="28" spans="1:17" x14ac:dyDescent="0.35">
      <c r="A28" t="s">
        <v>9</v>
      </c>
      <c r="B28" s="3"/>
      <c r="C28" s="3"/>
      <c r="D28" s="3"/>
      <c r="E28" s="3"/>
      <c r="F28" s="3"/>
      <c r="G28" s="3"/>
      <c r="H28" s="3"/>
      <c r="I28" s="3"/>
    </row>
    <row r="29" spans="1:17" x14ac:dyDescent="0.35">
      <c r="A29">
        <v>1</v>
      </c>
      <c r="B29">
        <v>1.0999999999999999E-2</v>
      </c>
      <c r="C29">
        <f>(B29-B29)/B29 *100</f>
        <v>0</v>
      </c>
      <c r="D29">
        <v>1.7999999999999999E-2</v>
      </c>
      <c r="E29">
        <f>(D29-B29)/B29 *100</f>
        <v>63.636363636363633</v>
      </c>
      <c r="F29" s="4">
        <v>2.8000000000000001E-2</v>
      </c>
      <c r="G29">
        <f>(F29-B29)/B29 *100</f>
        <v>154.54545454545456</v>
      </c>
    </row>
    <row r="30" spans="1:17" x14ac:dyDescent="0.35">
      <c r="A30">
        <v>2</v>
      </c>
      <c r="B30">
        <v>1.4E-2</v>
      </c>
      <c r="C30">
        <f t="shared" ref="C30:C48" si="8">(B30-B30)/B30 *100</f>
        <v>0</v>
      </c>
      <c r="D30">
        <v>2.1999999999999999E-2</v>
      </c>
      <c r="E30">
        <f t="shared" ref="E30:E48" si="9">(D30-B30)/B30 *100</f>
        <v>57.142857142857132</v>
      </c>
      <c r="F30" s="4">
        <v>0.03</v>
      </c>
      <c r="G30">
        <f t="shared" ref="G30:G48" si="10">(F30-B30)/B30 *100</f>
        <v>114.28571428571428</v>
      </c>
    </row>
    <row r="31" spans="1:17" x14ac:dyDescent="0.35">
      <c r="A31">
        <v>3</v>
      </c>
      <c r="B31">
        <v>1.2E-2</v>
      </c>
      <c r="C31">
        <f t="shared" si="8"/>
        <v>0</v>
      </c>
      <c r="D31">
        <v>1.6E-2</v>
      </c>
      <c r="E31">
        <f t="shared" si="9"/>
        <v>33.333333333333329</v>
      </c>
      <c r="F31" s="4">
        <v>2.5999999999999999E-2</v>
      </c>
      <c r="G31">
        <f t="shared" si="10"/>
        <v>116.66666666666666</v>
      </c>
    </row>
    <row r="32" spans="1:17" x14ac:dyDescent="0.35">
      <c r="A32">
        <v>4</v>
      </c>
      <c r="B32">
        <v>1.2999999999999999E-2</v>
      </c>
      <c r="C32">
        <f t="shared" si="8"/>
        <v>0</v>
      </c>
      <c r="D32">
        <v>1.7999999999999999E-2</v>
      </c>
      <c r="E32">
        <f t="shared" si="9"/>
        <v>38.46153846153846</v>
      </c>
      <c r="F32" s="4">
        <v>2.8000000000000001E-2</v>
      </c>
      <c r="G32">
        <f t="shared" si="10"/>
        <v>115.3846153846154</v>
      </c>
    </row>
    <row r="33" spans="1:7" x14ac:dyDescent="0.35">
      <c r="A33">
        <v>5</v>
      </c>
      <c r="B33">
        <v>1.0999999999999999E-2</v>
      </c>
      <c r="C33">
        <f t="shared" si="8"/>
        <v>0</v>
      </c>
      <c r="D33">
        <v>1.4999999999999999E-2</v>
      </c>
      <c r="E33">
        <f t="shared" si="9"/>
        <v>36.363636363636367</v>
      </c>
      <c r="F33" s="4">
        <v>2.1999999999999999E-2</v>
      </c>
      <c r="G33">
        <f t="shared" si="10"/>
        <v>100</v>
      </c>
    </row>
    <row r="34" spans="1:7" x14ac:dyDescent="0.35">
      <c r="A34">
        <v>6</v>
      </c>
      <c r="B34">
        <v>1.2999999999999999E-2</v>
      </c>
      <c r="C34">
        <f t="shared" si="8"/>
        <v>0</v>
      </c>
      <c r="D34">
        <v>1.7999999999999999E-2</v>
      </c>
      <c r="E34">
        <f t="shared" si="9"/>
        <v>38.46153846153846</v>
      </c>
      <c r="F34" s="4">
        <v>2.9000000000000001E-2</v>
      </c>
      <c r="G34">
        <f t="shared" si="10"/>
        <v>123.07692307692308</v>
      </c>
    </row>
    <row r="35" spans="1:7" x14ac:dyDescent="0.35">
      <c r="A35">
        <v>7</v>
      </c>
      <c r="B35">
        <v>1.2E-2</v>
      </c>
      <c r="C35">
        <f t="shared" si="8"/>
        <v>0</v>
      </c>
      <c r="D35">
        <v>1.6E-2</v>
      </c>
      <c r="E35">
        <f t="shared" si="9"/>
        <v>33.333333333333329</v>
      </c>
      <c r="F35" s="4">
        <v>2.8000000000000001E-2</v>
      </c>
      <c r="G35">
        <f t="shared" si="10"/>
        <v>133.33333333333331</v>
      </c>
    </row>
    <row r="36" spans="1:7" x14ac:dyDescent="0.35">
      <c r="A36">
        <v>8</v>
      </c>
      <c r="B36">
        <v>1.2999999999999999E-2</v>
      </c>
      <c r="C36">
        <f t="shared" si="8"/>
        <v>0</v>
      </c>
      <c r="D36">
        <v>2.3E-2</v>
      </c>
      <c r="E36">
        <f t="shared" si="9"/>
        <v>76.923076923076934</v>
      </c>
      <c r="F36" s="4">
        <v>3.2000000000000001E-2</v>
      </c>
      <c r="G36">
        <f t="shared" si="10"/>
        <v>146.15384615384619</v>
      </c>
    </row>
    <row r="37" spans="1:7" x14ac:dyDescent="0.35">
      <c r="A37">
        <v>9</v>
      </c>
      <c r="B37">
        <v>1.0999999999999999E-2</v>
      </c>
      <c r="C37">
        <f t="shared" si="8"/>
        <v>0</v>
      </c>
      <c r="D37">
        <v>1.7999999999999999E-2</v>
      </c>
      <c r="E37">
        <f t="shared" si="9"/>
        <v>63.636363636363633</v>
      </c>
      <c r="F37" s="4">
        <v>2.5999999999999999E-2</v>
      </c>
      <c r="G37">
        <f t="shared" si="10"/>
        <v>136.36363636363637</v>
      </c>
    </row>
    <row r="38" spans="1:7" x14ac:dyDescent="0.35">
      <c r="A38">
        <v>10</v>
      </c>
      <c r="B38">
        <v>8.9999999999999993E-3</v>
      </c>
      <c r="C38">
        <f t="shared" si="8"/>
        <v>0</v>
      </c>
      <c r="D38">
        <v>1.7000000000000001E-2</v>
      </c>
      <c r="E38">
        <f t="shared" si="9"/>
        <v>88.888888888888914</v>
      </c>
      <c r="F38" s="4">
        <v>2.1000000000000001E-2</v>
      </c>
      <c r="G38">
        <f t="shared" si="10"/>
        <v>133.33333333333337</v>
      </c>
    </row>
    <row r="39" spans="1:7" x14ac:dyDescent="0.35">
      <c r="A39">
        <v>11</v>
      </c>
      <c r="B39">
        <v>0.01</v>
      </c>
      <c r="C39">
        <f t="shared" si="8"/>
        <v>0</v>
      </c>
      <c r="D39">
        <v>1.2999999999999999E-2</v>
      </c>
      <c r="E39">
        <f t="shared" si="9"/>
        <v>29.999999999999993</v>
      </c>
      <c r="F39" s="4">
        <v>2.1999999999999999E-2</v>
      </c>
      <c r="G39">
        <f t="shared" si="10"/>
        <v>119.99999999999997</v>
      </c>
    </row>
    <row r="40" spans="1:7" x14ac:dyDescent="0.35">
      <c r="A40">
        <v>12</v>
      </c>
      <c r="B40">
        <v>0.01</v>
      </c>
      <c r="C40">
        <f t="shared" si="8"/>
        <v>0</v>
      </c>
      <c r="D40">
        <v>1.4999999999999999E-2</v>
      </c>
      <c r="E40">
        <f t="shared" si="9"/>
        <v>49.999999999999986</v>
      </c>
      <c r="F40" s="4">
        <v>2.5000000000000001E-2</v>
      </c>
      <c r="G40">
        <f t="shared" si="10"/>
        <v>150</v>
      </c>
    </row>
    <row r="41" spans="1:7" x14ac:dyDescent="0.35">
      <c r="A41">
        <v>13</v>
      </c>
      <c r="B41">
        <v>8.9999999999999993E-3</v>
      </c>
      <c r="C41">
        <f t="shared" si="8"/>
        <v>0</v>
      </c>
      <c r="D41">
        <v>1.2E-2</v>
      </c>
      <c r="E41">
        <f t="shared" si="9"/>
        <v>33.33333333333335</v>
      </c>
      <c r="F41" s="4">
        <v>2.3E-2</v>
      </c>
      <c r="G41">
        <f t="shared" si="10"/>
        <v>155.55555555555557</v>
      </c>
    </row>
    <row r="42" spans="1:7" x14ac:dyDescent="0.35">
      <c r="A42">
        <v>14</v>
      </c>
      <c r="B42">
        <v>8.0000000000000002E-3</v>
      </c>
      <c r="C42">
        <f t="shared" si="8"/>
        <v>0</v>
      </c>
      <c r="D42">
        <v>1.2E-2</v>
      </c>
      <c r="E42">
        <f t="shared" si="9"/>
        <v>50</v>
      </c>
      <c r="F42" s="4">
        <v>0.02</v>
      </c>
      <c r="G42">
        <f t="shared" si="10"/>
        <v>150</v>
      </c>
    </row>
    <row r="43" spans="1:7" x14ac:dyDescent="0.35">
      <c r="A43">
        <v>15</v>
      </c>
      <c r="B43">
        <v>1.2999999999999999E-2</v>
      </c>
      <c r="C43">
        <f t="shared" si="8"/>
        <v>0</v>
      </c>
      <c r="D43">
        <v>1.9E-2</v>
      </c>
      <c r="E43">
        <f t="shared" si="9"/>
        <v>46.153846153846153</v>
      </c>
      <c r="F43" s="4">
        <v>3.3000000000000002E-2</v>
      </c>
      <c r="G43">
        <f t="shared" si="10"/>
        <v>153.84615384615387</v>
      </c>
    </row>
    <row r="44" spans="1:7" x14ac:dyDescent="0.35">
      <c r="A44">
        <v>16</v>
      </c>
      <c r="B44">
        <v>1.0999999999999999E-2</v>
      </c>
      <c r="C44">
        <f t="shared" si="8"/>
        <v>0</v>
      </c>
      <c r="D44">
        <v>1.7000000000000001E-2</v>
      </c>
      <c r="E44">
        <f t="shared" si="9"/>
        <v>54.545454545454561</v>
      </c>
      <c r="F44" s="4">
        <v>2.5000000000000001E-2</v>
      </c>
      <c r="G44">
        <f t="shared" si="10"/>
        <v>127.27272727272729</v>
      </c>
    </row>
    <row r="45" spans="1:7" x14ac:dyDescent="0.35">
      <c r="A45">
        <v>17</v>
      </c>
      <c r="B45">
        <v>1.0999999999999999E-2</v>
      </c>
      <c r="C45">
        <f t="shared" si="8"/>
        <v>0</v>
      </c>
      <c r="D45">
        <v>1.7999999999999999E-2</v>
      </c>
      <c r="E45">
        <f t="shared" si="9"/>
        <v>63.636363636363633</v>
      </c>
      <c r="F45" s="4">
        <v>2.7E-2</v>
      </c>
      <c r="G45">
        <f t="shared" si="10"/>
        <v>145.45454545454547</v>
      </c>
    </row>
    <row r="46" spans="1:7" x14ac:dyDescent="0.35">
      <c r="A46">
        <v>18</v>
      </c>
      <c r="B46">
        <v>1.2E-2</v>
      </c>
      <c r="C46">
        <f t="shared" si="8"/>
        <v>0</v>
      </c>
      <c r="D46">
        <v>2.1000000000000001E-2</v>
      </c>
      <c r="E46">
        <f t="shared" si="9"/>
        <v>75.000000000000014</v>
      </c>
      <c r="F46" s="4">
        <v>0.03</v>
      </c>
      <c r="G46">
        <f t="shared" si="10"/>
        <v>149.99999999999997</v>
      </c>
    </row>
    <row r="47" spans="1:7" x14ac:dyDescent="0.35">
      <c r="A47">
        <v>19</v>
      </c>
      <c r="B47">
        <v>8.9999999999999993E-3</v>
      </c>
      <c r="C47">
        <f t="shared" si="8"/>
        <v>0</v>
      </c>
      <c r="D47">
        <v>1.2999999999999999E-2</v>
      </c>
      <c r="E47">
        <f t="shared" si="9"/>
        <v>44.44444444444445</v>
      </c>
      <c r="F47" s="4">
        <v>2.3E-2</v>
      </c>
      <c r="G47">
        <f t="shared" si="10"/>
        <v>155.55555555555557</v>
      </c>
    </row>
    <row r="48" spans="1:7" x14ac:dyDescent="0.35">
      <c r="A48">
        <v>20</v>
      </c>
      <c r="B48">
        <v>8.0000000000000002E-3</v>
      </c>
      <c r="C48">
        <f t="shared" si="8"/>
        <v>0</v>
      </c>
      <c r="D48">
        <v>1.7999999999999999E-2</v>
      </c>
      <c r="E48">
        <f t="shared" si="9"/>
        <v>124.99999999999997</v>
      </c>
      <c r="F48" s="4">
        <v>2.1000000000000001E-2</v>
      </c>
      <c r="G48">
        <f t="shared" si="10"/>
        <v>162.5</v>
      </c>
    </row>
  </sheetData>
  <mergeCells count="2">
    <mergeCell ref="B3:F3"/>
    <mergeCell ref="B27:F2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4816-A945-468B-AB5D-000330F20E1A}">
  <dimension ref="A1:W51"/>
  <sheetViews>
    <sheetView tabSelected="1" workbookViewId="0">
      <selection activeCell="L14" sqref="L14"/>
    </sheetView>
  </sheetViews>
  <sheetFormatPr defaultRowHeight="14.5" x14ac:dyDescent="0.35"/>
  <sheetData>
    <row r="1" spans="1:23" x14ac:dyDescent="0.35">
      <c r="A1" t="s">
        <v>7</v>
      </c>
    </row>
    <row r="4" spans="1:23" x14ac:dyDescent="0.35">
      <c r="A4" t="s">
        <v>9</v>
      </c>
      <c r="B4">
        <v>0</v>
      </c>
      <c r="C4">
        <v>3</v>
      </c>
      <c r="D4">
        <v>6</v>
      </c>
      <c r="E4">
        <v>24</v>
      </c>
      <c r="F4">
        <v>96</v>
      </c>
      <c r="G4">
        <v>120</v>
      </c>
      <c r="H4">
        <v>144</v>
      </c>
      <c r="I4">
        <v>168</v>
      </c>
      <c r="M4">
        <v>0</v>
      </c>
      <c r="N4">
        <v>3</v>
      </c>
      <c r="O4">
        <v>6</v>
      </c>
      <c r="P4">
        <v>24</v>
      </c>
      <c r="Q4">
        <v>96</v>
      </c>
      <c r="R4">
        <v>120</v>
      </c>
      <c r="S4">
        <v>144</v>
      </c>
      <c r="T4">
        <v>168</v>
      </c>
      <c r="U4">
        <v>192</v>
      </c>
      <c r="V4">
        <v>216</v>
      </c>
      <c r="W4">
        <v>240</v>
      </c>
    </row>
    <row r="5" spans="1:23" x14ac:dyDescent="0.3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L5" t="s">
        <v>21</v>
      </c>
      <c r="M5">
        <v>0</v>
      </c>
      <c r="N5">
        <v>0.49999999999999956</v>
      </c>
      <c r="O5">
        <v>0.49999999999999956</v>
      </c>
      <c r="P5">
        <v>0.49999999999999956</v>
      </c>
      <c r="Q5">
        <v>0.49999999999999956</v>
      </c>
      <c r="R5">
        <v>0.49999999999999956</v>
      </c>
      <c r="S5">
        <v>0.49999999999999956</v>
      </c>
      <c r="T5">
        <v>0.49999999999999956</v>
      </c>
      <c r="U5">
        <v>0.49999999999999956</v>
      </c>
      <c r="V5">
        <v>0.49999999999999956</v>
      </c>
      <c r="W5">
        <v>0.49999999999999956</v>
      </c>
    </row>
    <row r="6" spans="1:23" x14ac:dyDescent="0.35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L6" t="s">
        <v>10</v>
      </c>
      <c r="M6">
        <v>0</v>
      </c>
      <c r="N6">
        <v>55.114718614718619</v>
      </c>
      <c r="O6">
        <v>137.16640304140307</v>
      </c>
    </row>
    <row r="7" spans="1:23" x14ac:dyDescent="0.35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3" x14ac:dyDescent="0.35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23" x14ac:dyDescent="0.35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23" x14ac:dyDescent="0.35">
      <c r="A10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23" x14ac:dyDescent="0.35">
      <c r="A11">
        <v>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23" x14ac:dyDescent="0.35">
      <c r="A12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M12">
        <v>0</v>
      </c>
      <c r="N12">
        <v>0.97999999999999909</v>
      </c>
      <c r="O12">
        <v>0.97999999999999909</v>
      </c>
      <c r="P12">
        <v>0.97999999999999909</v>
      </c>
      <c r="Q12">
        <v>0.97999999999999909</v>
      </c>
      <c r="R12">
        <v>0.97999999999999909</v>
      </c>
      <c r="S12">
        <v>0.97999999999999909</v>
      </c>
      <c r="T12">
        <v>0.97999999999999909</v>
      </c>
      <c r="U12">
        <v>0.97999999999999909</v>
      </c>
      <c r="V12">
        <v>0.97999999999999909</v>
      </c>
      <c r="W12">
        <v>0.97999999999999909</v>
      </c>
    </row>
    <row r="13" spans="1:23" x14ac:dyDescent="0.35">
      <c r="A13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M13">
        <v>0</v>
      </c>
      <c r="N13">
        <v>10.216538236411687</v>
      </c>
      <c r="O13">
        <v>7.7639359551193419</v>
      </c>
    </row>
    <row r="14" spans="1:23" x14ac:dyDescent="0.35">
      <c r="A14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23" x14ac:dyDescent="0.35">
      <c r="A15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23" x14ac:dyDescent="0.35">
      <c r="A16">
        <v>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>
        <v>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>
        <v>16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>
        <v>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>
        <v>18</v>
      </c>
      <c r="B22">
        <v>0</v>
      </c>
      <c r="C22">
        <v>9.9999999999999911</v>
      </c>
      <c r="D22">
        <v>9.9999999999999911</v>
      </c>
      <c r="E22">
        <v>9.9999999999999911</v>
      </c>
      <c r="F22">
        <v>9.9999999999999911</v>
      </c>
      <c r="G22">
        <v>9.9999999999999911</v>
      </c>
      <c r="H22">
        <v>9.9999999999999911</v>
      </c>
      <c r="I22">
        <v>9.9999999999999911</v>
      </c>
    </row>
    <row r="23" spans="1:9" x14ac:dyDescent="0.35">
      <c r="A23">
        <v>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>
        <v>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5">
      <c r="B25">
        <f>AVERAGE(B5:B24)</f>
        <v>0</v>
      </c>
      <c r="C25">
        <f t="shared" ref="C25:I25" si="0">AVERAGE(C5:C24)</f>
        <v>0.49999999999999956</v>
      </c>
      <c r="D25">
        <f t="shared" si="0"/>
        <v>0.49999999999999956</v>
      </c>
      <c r="E25">
        <f t="shared" si="0"/>
        <v>0.49999999999999956</v>
      </c>
      <c r="F25">
        <f t="shared" si="0"/>
        <v>0.49999999999999956</v>
      </c>
      <c r="G25">
        <f t="shared" si="0"/>
        <v>0.49999999999999956</v>
      </c>
      <c r="H25">
        <f t="shared" si="0"/>
        <v>0.49999999999999956</v>
      </c>
      <c r="I25">
        <f t="shared" si="0"/>
        <v>0.49999999999999956</v>
      </c>
    </row>
    <row r="26" spans="1:9" x14ac:dyDescent="0.35">
      <c r="B26">
        <f>_xlfn.STDEV.S(B5:B24)</f>
        <v>0</v>
      </c>
      <c r="C26">
        <f t="shared" ref="C26:I26" si="1">_xlfn.STDEV.S(C5:C24)</f>
        <v>2.236067977499788</v>
      </c>
      <c r="D26">
        <f t="shared" si="1"/>
        <v>2.236067977499788</v>
      </c>
      <c r="E26">
        <f t="shared" si="1"/>
        <v>2.236067977499788</v>
      </c>
      <c r="F26">
        <f t="shared" si="1"/>
        <v>2.236067977499788</v>
      </c>
      <c r="G26">
        <f t="shared" si="1"/>
        <v>2.236067977499788</v>
      </c>
      <c r="H26">
        <f t="shared" si="1"/>
        <v>2.236067977499788</v>
      </c>
      <c r="I26">
        <f t="shared" si="1"/>
        <v>2.236067977499788</v>
      </c>
    </row>
    <row r="27" spans="1:9" x14ac:dyDescent="0.35">
      <c r="B27">
        <f>1.96 * B26/(SQRT(20))</f>
        <v>0</v>
      </c>
      <c r="C27">
        <f t="shared" ref="C27:I27" si="2">1.96 * C26/(SQRT(20))</f>
        <v>0.97999999999999909</v>
      </c>
      <c r="D27">
        <f t="shared" si="2"/>
        <v>0.97999999999999909</v>
      </c>
      <c r="E27">
        <f t="shared" si="2"/>
        <v>0.97999999999999909</v>
      </c>
      <c r="F27">
        <f t="shared" si="2"/>
        <v>0.97999999999999909</v>
      </c>
      <c r="G27">
        <f t="shared" si="2"/>
        <v>0.97999999999999909</v>
      </c>
      <c r="H27">
        <f t="shared" si="2"/>
        <v>0.97999999999999909</v>
      </c>
      <c r="I27">
        <f t="shared" si="2"/>
        <v>0.97999999999999909</v>
      </c>
    </row>
    <row r="28" spans="1:9" x14ac:dyDescent="0.35">
      <c r="A28" t="s">
        <v>9</v>
      </c>
    </row>
    <row r="29" spans="1:9" x14ac:dyDescent="0.35">
      <c r="A29">
        <v>1</v>
      </c>
      <c r="B29">
        <v>0</v>
      </c>
      <c r="C29">
        <v>63.636363636363633</v>
      </c>
      <c r="D29">
        <v>154.54545454545456</v>
      </c>
    </row>
    <row r="30" spans="1:9" x14ac:dyDescent="0.35">
      <c r="A30">
        <v>2</v>
      </c>
      <c r="B30">
        <v>0</v>
      </c>
      <c r="C30">
        <v>57.142857142857132</v>
      </c>
      <c r="D30">
        <v>114.28571428571428</v>
      </c>
    </row>
    <row r="31" spans="1:9" x14ac:dyDescent="0.35">
      <c r="A31">
        <v>3</v>
      </c>
      <c r="B31">
        <v>0</v>
      </c>
      <c r="C31">
        <v>33.333333333333329</v>
      </c>
      <c r="D31">
        <v>116.66666666666666</v>
      </c>
    </row>
    <row r="32" spans="1:9" x14ac:dyDescent="0.35">
      <c r="A32">
        <v>4</v>
      </c>
      <c r="B32">
        <v>0</v>
      </c>
      <c r="C32">
        <v>38.46153846153846</v>
      </c>
      <c r="D32">
        <v>115.3846153846154</v>
      </c>
    </row>
    <row r="33" spans="1:4" x14ac:dyDescent="0.35">
      <c r="A33">
        <v>5</v>
      </c>
      <c r="B33">
        <v>0</v>
      </c>
      <c r="C33">
        <v>36.363636363636367</v>
      </c>
      <c r="D33">
        <v>100</v>
      </c>
    </row>
    <row r="34" spans="1:4" x14ac:dyDescent="0.35">
      <c r="A34">
        <v>6</v>
      </c>
      <c r="B34">
        <v>0</v>
      </c>
      <c r="C34">
        <v>38.46153846153846</v>
      </c>
      <c r="D34">
        <v>123.07692307692308</v>
      </c>
    </row>
    <row r="35" spans="1:4" x14ac:dyDescent="0.35">
      <c r="A35">
        <v>7</v>
      </c>
      <c r="B35">
        <v>0</v>
      </c>
      <c r="C35">
        <v>33.333333333333329</v>
      </c>
      <c r="D35">
        <v>133.33333333333331</v>
      </c>
    </row>
    <row r="36" spans="1:4" x14ac:dyDescent="0.35">
      <c r="A36">
        <v>8</v>
      </c>
      <c r="B36">
        <v>0</v>
      </c>
      <c r="C36">
        <v>76.923076923076934</v>
      </c>
      <c r="D36">
        <v>146.15384615384619</v>
      </c>
    </row>
    <row r="37" spans="1:4" x14ac:dyDescent="0.35">
      <c r="A37">
        <v>9</v>
      </c>
      <c r="B37">
        <v>0</v>
      </c>
      <c r="C37">
        <v>63.636363636363633</v>
      </c>
      <c r="D37">
        <v>136.36363636363637</v>
      </c>
    </row>
    <row r="38" spans="1:4" x14ac:dyDescent="0.35">
      <c r="A38">
        <v>10</v>
      </c>
      <c r="B38">
        <v>0</v>
      </c>
      <c r="C38">
        <v>88.888888888888914</v>
      </c>
      <c r="D38">
        <v>133.33333333333337</v>
      </c>
    </row>
    <row r="39" spans="1:4" x14ac:dyDescent="0.35">
      <c r="A39">
        <v>11</v>
      </c>
      <c r="B39">
        <v>0</v>
      </c>
      <c r="C39">
        <v>29.999999999999993</v>
      </c>
      <c r="D39">
        <v>119.99999999999997</v>
      </c>
    </row>
    <row r="40" spans="1:4" x14ac:dyDescent="0.35">
      <c r="A40">
        <v>12</v>
      </c>
      <c r="B40">
        <v>0</v>
      </c>
      <c r="C40">
        <v>49.999999999999986</v>
      </c>
      <c r="D40">
        <v>150</v>
      </c>
    </row>
    <row r="41" spans="1:4" x14ac:dyDescent="0.35">
      <c r="A41">
        <v>13</v>
      </c>
      <c r="B41">
        <v>0</v>
      </c>
      <c r="C41">
        <v>33.33333333333335</v>
      </c>
      <c r="D41">
        <v>155.55555555555557</v>
      </c>
    </row>
    <row r="42" spans="1:4" x14ac:dyDescent="0.35">
      <c r="A42">
        <v>14</v>
      </c>
      <c r="B42">
        <v>0</v>
      </c>
      <c r="C42">
        <v>50</v>
      </c>
      <c r="D42">
        <v>150</v>
      </c>
    </row>
    <row r="43" spans="1:4" x14ac:dyDescent="0.35">
      <c r="A43">
        <v>15</v>
      </c>
      <c r="B43">
        <v>0</v>
      </c>
      <c r="C43">
        <v>46.153846153846153</v>
      </c>
      <c r="D43">
        <v>153.84615384615387</v>
      </c>
    </row>
    <row r="44" spans="1:4" x14ac:dyDescent="0.35">
      <c r="A44">
        <v>16</v>
      </c>
      <c r="B44">
        <v>0</v>
      </c>
      <c r="C44">
        <v>54.545454545454561</v>
      </c>
      <c r="D44">
        <v>127.27272727272729</v>
      </c>
    </row>
    <row r="45" spans="1:4" x14ac:dyDescent="0.35">
      <c r="A45">
        <v>17</v>
      </c>
      <c r="B45">
        <v>0</v>
      </c>
      <c r="C45">
        <v>63.636363636363633</v>
      </c>
      <c r="D45">
        <v>145.45454545454547</v>
      </c>
    </row>
    <row r="46" spans="1:4" x14ac:dyDescent="0.35">
      <c r="A46">
        <v>18</v>
      </c>
      <c r="B46">
        <v>0</v>
      </c>
      <c r="C46">
        <v>75.000000000000014</v>
      </c>
      <c r="D46">
        <v>149.99999999999997</v>
      </c>
    </row>
    <row r="47" spans="1:4" x14ac:dyDescent="0.35">
      <c r="A47">
        <v>19</v>
      </c>
      <c r="B47">
        <v>0</v>
      </c>
      <c r="C47">
        <v>44.44444444444445</v>
      </c>
      <c r="D47">
        <v>155.55555555555557</v>
      </c>
    </row>
    <row r="48" spans="1:4" x14ac:dyDescent="0.35">
      <c r="A48">
        <v>20</v>
      </c>
      <c r="B48">
        <v>0</v>
      </c>
      <c r="C48">
        <v>124.99999999999997</v>
      </c>
      <c r="D48">
        <v>162.5</v>
      </c>
    </row>
    <row r="49" spans="2:4" x14ac:dyDescent="0.35">
      <c r="B49">
        <f>AVERAGE(B29:B48)</f>
        <v>0</v>
      </c>
      <c r="C49">
        <f t="shared" ref="C49:D49" si="3">AVERAGE(C29:C48)</f>
        <v>55.114718614718619</v>
      </c>
      <c r="D49">
        <f t="shared" si="3"/>
        <v>137.16640304140307</v>
      </c>
    </row>
    <row r="50" spans="2:4" x14ac:dyDescent="0.35">
      <c r="B50">
        <f>_xlfn.STDEV.S(B29:B48)</f>
        <v>0</v>
      </c>
      <c r="C50">
        <f t="shared" ref="C50:D50" si="4">_xlfn.STDEV.S(C29:C48)</f>
        <v>23.311095909533012</v>
      </c>
      <c r="D50">
        <f t="shared" si="4"/>
        <v>17.714988335307762</v>
      </c>
    </row>
    <row r="51" spans="2:4" x14ac:dyDescent="0.35">
      <c r="B51">
        <f>1.96 * B50/(SQRT(20))</f>
        <v>0</v>
      </c>
      <c r="C51">
        <f t="shared" ref="C51:D51" si="5">1.96 * C50/(SQRT(20))</f>
        <v>10.216538236411687</v>
      </c>
      <c r="D51">
        <f t="shared" si="5"/>
        <v>7.7639359551193419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738A-6B82-4D17-8129-83A624F416D8}">
  <dimension ref="A1:G9"/>
  <sheetViews>
    <sheetView workbookViewId="0">
      <selection activeCell="G15" sqref="G15"/>
    </sheetView>
  </sheetViews>
  <sheetFormatPr defaultRowHeight="14.5" x14ac:dyDescent="0.35"/>
  <sheetData>
    <row r="1" spans="1:7" x14ac:dyDescent="0.35">
      <c r="A1" t="s">
        <v>0</v>
      </c>
    </row>
    <row r="3" spans="1:7" x14ac:dyDescent="0.35">
      <c r="A3" t="s">
        <v>1</v>
      </c>
      <c r="B3" s="1" t="s">
        <v>5</v>
      </c>
      <c r="C3" t="s">
        <v>2</v>
      </c>
    </row>
    <row r="5" spans="1:7" x14ac:dyDescent="0.35">
      <c r="A5" t="s">
        <v>3</v>
      </c>
      <c r="B5" s="1" t="s">
        <v>6</v>
      </c>
      <c r="C5" t="s">
        <v>4</v>
      </c>
      <c r="D5" t="s">
        <v>16</v>
      </c>
      <c r="E5" t="s">
        <v>17</v>
      </c>
      <c r="F5" t="s">
        <v>18</v>
      </c>
      <c r="G5" t="s">
        <v>20</v>
      </c>
    </row>
    <row r="6" spans="1:7" x14ac:dyDescent="0.35">
      <c r="A6">
        <v>1</v>
      </c>
      <c r="B6" s="2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>
        <v>2</v>
      </c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>
        <v>3</v>
      </c>
      <c r="B8" s="2">
        <v>0</v>
      </c>
      <c r="C8">
        <v>1</v>
      </c>
      <c r="D8">
        <v>0</v>
      </c>
      <c r="E8">
        <v>0</v>
      </c>
      <c r="F8">
        <v>0</v>
      </c>
      <c r="G8">
        <v>0</v>
      </c>
    </row>
    <row r="9" spans="1:7" x14ac:dyDescent="0.35">
      <c r="A9">
        <v>4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3C96-8C09-471F-8EE7-068BB5C65BF9}">
  <dimension ref="A1:D8"/>
  <sheetViews>
    <sheetView workbookViewId="0">
      <selection activeCell="F11" sqref="F11"/>
    </sheetView>
  </sheetViews>
  <sheetFormatPr defaultRowHeight="14.5" x14ac:dyDescent="0.35"/>
  <sheetData>
    <row r="1" spans="1:4" x14ac:dyDescent="0.35">
      <c r="A1" t="s">
        <v>11</v>
      </c>
    </row>
    <row r="3" spans="1:4" x14ac:dyDescent="0.35">
      <c r="B3" t="s">
        <v>12</v>
      </c>
      <c r="C3" t="s">
        <v>13</v>
      </c>
      <c r="D3" t="s">
        <v>11</v>
      </c>
    </row>
    <row r="4" spans="1:4" x14ac:dyDescent="0.35">
      <c r="B4">
        <v>7.2999999999999995E-2</v>
      </c>
      <c r="C4">
        <v>1.9E-2</v>
      </c>
      <c r="D4">
        <f>C4/(B4+C4)</f>
        <v>0.20652173913043478</v>
      </c>
    </row>
    <row r="5" spans="1:4" x14ac:dyDescent="0.35">
      <c r="B5">
        <v>7.8E-2</v>
      </c>
      <c r="C5">
        <v>2.1000000000000001E-2</v>
      </c>
      <c r="D5">
        <f t="shared" ref="D5:D6" si="0">C5/(B5+C5)</f>
        <v>0.21212121212121213</v>
      </c>
    </row>
    <row r="6" spans="1:4" x14ac:dyDescent="0.35">
      <c r="B6">
        <v>9.0999999999999998E-2</v>
      </c>
      <c r="C6">
        <v>2.3E-2</v>
      </c>
      <c r="D6">
        <f t="shared" si="0"/>
        <v>0.2017543859649123</v>
      </c>
    </row>
    <row r="7" spans="1:4" x14ac:dyDescent="0.35">
      <c r="B7" s="8" t="s">
        <v>14</v>
      </c>
      <c r="C7" s="8"/>
      <c r="D7">
        <f>AVERAGE(D4:D6)</f>
        <v>0.20679911240551974</v>
      </c>
    </row>
    <row r="8" spans="1:4" x14ac:dyDescent="0.35">
      <c r="D8">
        <f>_xlfn.STDEV.S(D4:D6)</f>
        <v>5.1889761118195654E-3</v>
      </c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Imbibition</vt:lpstr>
      <vt:lpstr>Sheet1</vt:lpstr>
      <vt:lpstr>Germination</vt:lpstr>
      <vt:lpstr>SCR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Ranithu Jayasuriya</cp:lastModifiedBy>
  <dcterms:created xsi:type="dcterms:W3CDTF">2023-02-16T15:57:36Z</dcterms:created>
  <dcterms:modified xsi:type="dcterms:W3CDTF">2026-02-21T02:23:06Z</dcterms:modified>
</cp:coreProperties>
</file>