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D884907C-4053-458B-8EEB-C01F3926974A}" xr6:coauthVersionLast="47" xr6:coauthVersionMax="47" xr10:uidLastSave="{00000000-0000-0000-0000-000000000000}"/>
  <bookViews>
    <workbookView xWindow="-110" yWindow="-110" windowWidth="19420" windowHeight="10300" activeTab="1" xr2:uid="{8D893213-15AB-47D6-8250-AF5A567904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I10" i="2"/>
  <c r="I7" i="2"/>
  <c r="I8" i="2"/>
  <c r="I9" i="2"/>
  <c r="I6" i="2"/>
  <c r="D6" i="1" l="1"/>
  <c r="D5" i="1"/>
  <c r="D4" i="1"/>
  <c r="D8" i="1" l="1"/>
  <c r="D7" i="1"/>
</calcChain>
</file>

<file path=xl/sharedStrings.xml><?xml version="1.0" encoding="utf-8"?>
<sst xmlns="http://schemas.openxmlformats.org/spreadsheetml/2006/main" count="17" uniqueCount="16">
  <si>
    <t>SCR</t>
  </si>
  <si>
    <t>Embryo weight</t>
  </si>
  <si>
    <t>Seed coat weight</t>
  </si>
  <si>
    <t>Average</t>
  </si>
  <si>
    <t>NI366</t>
  </si>
  <si>
    <t>Ger</t>
  </si>
  <si>
    <t>Start</t>
  </si>
  <si>
    <t>15/2/2023</t>
  </si>
  <si>
    <t>25 seeds</t>
  </si>
  <si>
    <t>Rep</t>
  </si>
  <si>
    <t>16/02/2023</t>
  </si>
  <si>
    <t>17/02/2023</t>
  </si>
  <si>
    <t>20/02/2023</t>
  </si>
  <si>
    <t>21/02/2023</t>
  </si>
  <si>
    <t>22/02/2023</t>
  </si>
  <si>
    <t>24/02/2023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</si>
</sst>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87BA-75B4-4122-A04C-249118062899}">
  <dimension ref="A1:D8"/>
  <sheetViews>
    <sheetView workbookViewId="0">
      <selection activeCell="G8" sqref="G8"/>
    </sheetView>
  </sheetViews>
  <sheetFormatPr defaultRowHeight="14.5" x14ac:dyDescent="0.35"/>
  <sheetData>
    <row r="1" spans="1:4" x14ac:dyDescent="0.35">
      <c r="A1" t="s">
        <v>0</v>
      </c>
      <c r="B1">
        <v>19843136</v>
      </c>
      <c r="C1">
        <v>10848</v>
      </c>
      <c r="D1" t="s">
        <v>4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0.09</v>
      </c>
      <c r="C4">
        <v>1.9E-2</v>
      </c>
      <c r="D4">
        <f>C4/(B4+C4)</f>
        <v>0.1743119266055046</v>
      </c>
    </row>
    <row r="5" spans="1:4" x14ac:dyDescent="0.35">
      <c r="B5">
        <v>0.106</v>
      </c>
      <c r="C5">
        <v>2.3E-2</v>
      </c>
      <c r="D5">
        <f t="shared" ref="D5:D6" si="0">C5/(B5+C5)</f>
        <v>0.17829457364341084</v>
      </c>
    </row>
    <row r="6" spans="1:4" x14ac:dyDescent="0.35">
      <c r="B6">
        <v>9.2999999999999999E-2</v>
      </c>
      <c r="C6">
        <v>0.02</v>
      </c>
      <c r="D6">
        <f t="shared" si="0"/>
        <v>0.17699115044247787</v>
      </c>
    </row>
    <row r="7" spans="1:4" x14ac:dyDescent="0.35">
      <c r="B7" s="1" t="s">
        <v>3</v>
      </c>
      <c r="C7" s="1"/>
      <c r="D7">
        <f>AVERAGE(D4:D6)</f>
        <v>0.17653255023046444</v>
      </c>
    </row>
    <row r="8" spans="1:4" x14ac:dyDescent="0.35">
      <c r="D8">
        <f>_xlfn.STDEV.S(D4:D6)</f>
        <v>2.0305430241637124E-3</v>
      </c>
    </row>
  </sheetData>
  <mergeCells count="1"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6B71-F82F-4E7D-8720-F2990B4F7F42}">
  <dimension ref="A1:I11"/>
  <sheetViews>
    <sheetView tabSelected="1" workbookViewId="0">
      <selection activeCell="Q9" sqref="Q9"/>
    </sheetView>
  </sheetViews>
  <sheetFormatPr defaultRowHeight="14.5" x14ac:dyDescent="0.35"/>
  <sheetData>
    <row r="1" spans="1:9" x14ac:dyDescent="0.35">
      <c r="A1" t="s">
        <v>5</v>
      </c>
    </row>
    <row r="3" spans="1:9" x14ac:dyDescent="0.35">
      <c r="A3" t="s">
        <v>6</v>
      </c>
      <c r="B3" t="s">
        <v>7</v>
      </c>
      <c r="C3" t="s">
        <v>8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9" x14ac:dyDescent="0.3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f>H6/25 *100</f>
        <v>0</v>
      </c>
    </row>
    <row r="7" spans="1:9" x14ac:dyDescent="0.35">
      <c r="A7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f t="shared" ref="I7:I9" si="0">H7/25 *100</f>
        <v>0</v>
      </c>
    </row>
    <row r="8" spans="1:9" x14ac:dyDescent="0.35">
      <c r="A8">
        <v>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f t="shared" si="0"/>
        <v>4</v>
      </c>
    </row>
    <row r="9" spans="1:9" x14ac:dyDescent="0.35">
      <c r="A9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f t="shared" si="0"/>
        <v>0</v>
      </c>
    </row>
    <row r="10" spans="1:9" x14ac:dyDescent="0.35">
      <c r="I10" s="2">
        <f>AVERAGE(I6:I9)</f>
        <v>1</v>
      </c>
    </row>
    <row r="11" spans="1:9" x14ac:dyDescent="0.35">
      <c r="I11" s="2">
        <f>_xlfn.STDEV.S(I6:I9)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2023-02-21T15:34:13Z</dcterms:created>
  <dcterms:modified xsi:type="dcterms:W3CDTF">2026-02-21T06:35:06Z</dcterms:modified>
</cp:coreProperties>
</file>