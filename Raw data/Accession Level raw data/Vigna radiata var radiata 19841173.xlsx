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D00E582E-E420-4AED-945B-87E81E243182}" xr6:coauthVersionLast="47" xr6:coauthVersionMax="47" xr10:uidLastSave="{00000000-0000-0000-0000-000000000000}"/>
  <bookViews>
    <workbookView xWindow="-110" yWindow="-110" windowWidth="19420" windowHeight="10300" activeTab="1" xr2:uid="{14AF19BA-ED8F-4DEB-8D78-A1AE51E618A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0" i="2"/>
  <c r="L7" i="2"/>
  <c r="D6" i="1"/>
  <c r="D5" i="1"/>
  <c r="D4" i="1"/>
  <c r="D8" i="1" l="1"/>
  <c r="D7" i="1"/>
</calcChain>
</file>

<file path=xl/sharedStrings.xml><?xml version="1.0" encoding="utf-8"?>
<sst xmlns="http://schemas.openxmlformats.org/spreadsheetml/2006/main" count="18" uniqueCount="17">
  <si>
    <t>SCR</t>
  </si>
  <si>
    <t>Embryo weight</t>
  </si>
  <si>
    <t>Seed coat weight</t>
  </si>
  <si>
    <t>Average</t>
  </si>
  <si>
    <t>NI127</t>
  </si>
  <si>
    <t>Ger</t>
  </si>
  <si>
    <t>Start</t>
  </si>
  <si>
    <t>25 seeds</t>
  </si>
  <si>
    <t>Rep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</si>
  <si>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</si>
  <si>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</si>
  <si>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</si>
  <si>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</si>
  <si>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</si>
  <si>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</si>
  <si>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</si>
  <si>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24/02/2023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</si>
</sst>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F4AE-3CD8-4F70-85A3-885BF13C6984}">
  <dimension ref="A1:D8"/>
  <sheetViews>
    <sheetView workbookViewId="0">
      <selection activeCell="Q42" sqref="Q42"/>
    </sheetView>
  </sheetViews>
  <sheetFormatPr defaultRowHeight="14.5" x14ac:dyDescent="0.35"/>
  <cols>
    <col min="2" max="2" width="9.81640625" bestFit="1" customWidth="1"/>
  </cols>
  <sheetData>
    <row r="1" spans="1:4" x14ac:dyDescent="0.35">
      <c r="A1" t="s">
        <v>0</v>
      </c>
      <c r="B1">
        <v>19841173</v>
      </c>
      <c r="C1" t="s">
        <v>4</v>
      </c>
      <c r="D1">
        <v>10264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0.40799999999999997</v>
      </c>
      <c r="C4">
        <v>4.2000000000000003E-2</v>
      </c>
      <c r="D4">
        <f>C4/(B4+C4)</f>
        <v>9.3333333333333351E-2</v>
      </c>
    </row>
    <row r="5" spans="1:4" x14ac:dyDescent="0.35">
      <c r="B5">
        <v>0.46899999999999997</v>
      </c>
      <c r="C5">
        <v>5.0999999999999997E-2</v>
      </c>
      <c r="D5">
        <f t="shared" ref="D5:D6" si="0">C5/(B5+C5)</f>
        <v>9.8076923076923062E-2</v>
      </c>
    </row>
    <row r="6" spans="1:4" x14ac:dyDescent="0.35">
      <c r="B6">
        <v>0.374</v>
      </c>
      <c r="C6">
        <v>3.7999999999999999E-2</v>
      </c>
      <c r="D6">
        <f t="shared" si="0"/>
        <v>9.2233009708737865E-2</v>
      </c>
    </row>
    <row r="7" spans="1:4" x14ac:dyDescent="0.35">
      <c r="B7" s="1" t="s">
        <v>3</v>
      </c>
      <c r="C7" s="1"/>
      <c r="D7">
        <f>AVERAGE(D4:D6)</f>
        <v>9.4547755372998088E-2</v>
      </c>
    </row>
    <row r="8" spans="1:4" x14ac:dyDescent="0.35">
      <c r="D8">
        <f>_xlfn.STDEV.S(D4:D6)</f>
        <v>3.105470420327815E-3</v>
      </c>
    </row>
  </sheetData>
  <mergeCells count="1">
    <mergeCell ref="B7:C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4871-C34C-4632-BC8F-BAE17F294EBD}">
  <dimension ref="A1:L11"/>
  <sheetViews>
    <sheetView tabSelected="1" workbookViewId="0">
      <selection activeCell="P12" sqref="P12"/>
    </sheetView>
  </sheetViews>
  <sheetFormatPr defaultRowHeight="14.5" x14ac:dyDescent="0.35"/>
  <cols>
    <col min="2" max="2" width="9.453125" bestFit="1" customWidth="1"/>
  </cols>
  <sheetData>
    <row r="1" spans="1:12" x14ac:dyDescent="0.35">
      <c r="A1" t="s">
        <v>5</v>
      </c>
    </row>
    <row r="3" spans="1:12" x14ac:dyDescent="0.35">
      <c r="A3" t="s">
        <v>6</v>
      </c>
      <c r="B3" s="2">
        <v>45171</v>
      </c>
      <c r="C3" t="s">
        <v>7</v>
      </c>
    </row>
    <row r="5" spans="1:12" x14ac:dyDescent="0.35">
      <c r="A5" t="s">
        <v>8</v>
      </c>
      <c r="B5" s="2">
        <v>45201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</row>
    <row r="6" spans="1:12" x14ac:dyDescent="0.35">
      <c r="A6">
        <v>1</v>
      </c>
      <c r="B6" s="3">
        <v>6</v>
      </c>
      <c r="C6">
        <v>19</v>
      </c>
      <c r="D6" s="4"/>
      <c r="E6" s="4"/>
      <c r="F6" s="4"/>
      <c r="G6" s="4"/>
      <c r="H6" s="4"/>
      <c r="I6" s="4"/>
      <c r="J6" s="4"/>
      <c r="K6">
        <v>0</v>
      </c>
      <c r="L6">
        <v>0</v>
      </c>
    </row>
    <row r="7" spans="1:12" x14ac:dyDescent="0.35">
      <c r="A7">
        <v>2</v>
      </c>
      <c r="B7" s="3">
        <v>5</v>
      </c>
      <c r="C7">
        <v>18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f>K7/25 *100</f>
        <v>4</v>
      </c>
    </row>
    <row r="8" spans="1:12" x14ac:dyDescent="0.35">
      <c r="A8">
        <v>3</v>
      </c>
      <c r="B8" s="3">
        <v>7</v>
      </c>
      <c r="C8">
        <v>17</v>
      </c>
      <c r="D8">
        <v>1</v>
      </c>
      <c r="E8" s="4"/>
      <c r="F8" s="4"/>
      <c r="G8" s="4"/>
      <c r="H8" s="4"/>
      <c r="I8" s="4"/>
      <c r="J8" s="4"/>
      <c r="K8">
        <v>0</v>
      </c>
      <c r="L8">
        <v>0</v>
      </c>
    </row>
    <row r="9" spans="1:12" x14ac:dyDescent="0.35">
      <c r="A9">
        <v>4</v>
      </c>
      <c r="B9" s="3">
        <v>8</v>
      </c>
      <c r="C9">
        <v>14</v>
      </c>
      <c r="D9">
        <v>1</v>
      </c>
      <c r="E9" s="5">
        <v>2</v>
      </c>
      <c r="F9" s="4"/>
      <c r="G9" s="4"/>
      <c r="H9" s="4"/>
      <c r="I9" s="4"/>
      <c r="J9" s="4"/>
      <c r="K9">
        <v>0</v>
      </c>
      <c r="L9">
        <v>0</v>
      </c>
    </row>
    <row r="10" spans="1:12" x14ac:dyDescent="0.35">
      <c r="L10">
        <f>AVERAGE(L6:L9)</f>
        <v>1</v>
      </c>
    </row>
    <row r="11" spans="1:12" x14ac:dyDescent="0.35">
      <c r="L11" s="6">
        <f>_xlfn.STDEV.S(L6:L9)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2023-02-21T15:23:03Z</dcterms:created>
  <dcterms:modified xsi:type="dcterms:W3CDTF">2026-02-21T06:20:59Z</dcterms:modified>
</cp:coreProperties>
</file>