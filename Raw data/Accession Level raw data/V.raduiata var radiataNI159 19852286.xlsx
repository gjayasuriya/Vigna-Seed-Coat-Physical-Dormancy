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3D9C6424-6B7F-4D41-81DC-6DE71C649F5B}" xr6:coauthVersionLast="47" xr6:coauthVersionMax="47" xr10:uidLastSave="{00000000-0000-0000-0000-000000000000}"/>
  <bookViews>
    <workbookView xWindow="-110" yWindow="-110" windowWidth="19420" windowHeight="10300" activeTab="2" xr2:uid="{55EA5AB9-4B72-41B9-B1E9-F6181B22D390}"/>
  </bookViews>
  <sheets>
    <sheet name="Imbibition" sheetId="1" r:id="rId1"/>
    <sheet name="Imbibition1" sheetId="4" r:id="rId2"/>
    <sheet name="Imbibition2" sheetId="5" r:id="rId3"/>
    <sheet name="Germination" sheetId="2" r:id="rId4"/>
    <sheet name="SC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5" l="1"/>
  <c r="E52" i="5"/>
  <c r="E53" i="5" s="1"/>
  <c r="D52" i="5"/>
  <c r="C52" i="5"/>
  <c r="C53" i="5" s="1"/>
  <c r="B52" i="5"/>
  <c r="B53" i="5" s="1"/>
  <c r="E51" i="5"/>
  <c r="D51" i="5"/>
  <c r="C51" i="5"/>
  <c r="B51" i="5"/>
  <c r="C27" i="5"/>
  <c r="D27" i="5"/>
  <c r="E27" i="5"/>
  <c r="B27" i="5"/>
  <c r="C26" i="5"/>
  <c r="D26" i="5"/>
  <c r="E26" i="5"/>
  <c r="F26" i="5"/>
  <c r="F27" i="5" s="1"/>
  <c r="B26" i="5"/>
  <c r="C25" i="5"/>
  <c r="D25" i="5"/>
  <c r="E25" i="5"/>
  <c r="F25" i="5"/>
  <c r="B25" i="5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I24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5" i="4"/>
  <c r="D8" i="3"/>
  <c r="D7" i="3"/>
  <c r="D5" i="3"/>
  <c r="D6" i="3"/>
  <c r="D4" i="3"/>
</calcChain>
</file>

<file path=xl/sharedStrings.xml><?xml version="1.0" encoding="utf-8"?>
<sst xmlns="http://schemas.openxmlformats.org/spreadsheetml/2006/main" count="39" uniqueCount="21">
  <si>
    <t>Vigna radiata var radiata</t>
  </si>
  <si>
    <t>UT</t>
  </si>
  <si>
    <t>Seed no.</t>
  </si>
  <si>
    <t>NI159</t>
  </si>
  <si>
    <t>MS</t>
  </si>
  <si>
    <t>Ger</t>
  </si>
  <si>
    <t>SCR</t>
  </si>
  <si>
    <t>Embryo weight</t>
  </si>
  <si>
    <t>Seed coat weight</t>
  </si>
  <si>
    <t>Average</t>
  </si>
  <si>
    <t>Start</t>
  </si>
  <si>
    <t>Rep</t>
  </si>
  <si>
    <t>25 seeds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</si>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</sst>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02537182852145"/>
          <c:y val="5.0925925925925923E-2"/>
          <c:w val="0.82475240594925647"/>
          <c:h val="0.799636920384951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Imbibition2!$K$16</c:f>
              <c:strCache>
                <c:ptCount val="1"/>
                <c:pt idx="0">
                  <c:v>UT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Imbibition2!$L$24:$P$24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12.164765000533585</c:v>
                  </c:pt>
                  <c:pt idx="2">
                    <c:v>17.796397618612342</c:v>
                  </c:pt>
                  <c:pt idx="3">
                    <c:v>25.340105362844337</c:v>
                  </c:pt>
                  <c:pt idx="4">
                    <c:v>20.819252804450503</c:v>
                  </c:pt>
                </c:numCache>
              </c:numRef>
            </c:plus>
            <c:minus>
              <c:numRef>
                <c:f>Imbibition2!$L$24:$P$24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12.164765000533585</c:v>
                  </c:pt>
                  <c:pt idx="2">
                    <c:v>17.796397618612342</c:v>
                  </c:pt>
                  <c:pt idx="3">
                    <c:v>25.340105362844337</c:v>
                  </c:pt>
                  <c:pt idx="4">
                    <c:v>20.819252804450503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Imbibition2!$L$15:$P$15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Imbibition2!$L$16:$P$16</c:f>
              <c:numCache>
                <c:formatCode>General</c:formatCode>
                <c:ptCount val="5"/>
                <c:pt idx="0">
                  <c:v>0</c:v>
                </c:pt>
                <c:pt idx="1">
                  <c:v>12.900444091985927</c:v>
                </c:pt>
                <c:pt idx="2">
                  <c:v>20.553763149077362</c:v>
                </c:pt>
                <c:pt idx="3">
                  <c:v>91.955655368046706</c:v>
                </c:pt>
                <c:pt idx="4">
                  <c:v>156.08952410518643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F2-4257-A987-A2ABA317A551}"/>
            </c:ext>
          </c:extLst>
        </c:ser>
        <c:ser>
          <c:idx val="1"/>
          <c:order val="1"/>
          <c:tx>
            <c:strRef>
              <c:f>Imbibition2!$K$17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Imbibition2!$L$25:$O$25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7.9443225825987973</c:v>
                  </c:pt>
                  <c:pt idx="2">
                    <c:v>17.660358291585673</c:v>
                  </c:pt>
                  <c:pt idx="3">
                    <c:v>24.071577970327599</c:v>
                  </c:pt>
                </c:numCache>
              </c:numRef>
            </c:plus>
            <c:minus>
              <c:numRef>
                <c:f>Imbibition2!$L$25:$O$25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7.9443225825987973</c:v>
                  </c:pt>
                  <c:pt idx="2">
                    <c:v>17.660358291585673</c:v>
                  </c:pt>
                  <c:pt idx="3">
                    <c:v>24.071577970327599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Imbibition2!$L$15:$P$15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Imbibition2!$L$17:$P$17</c:f>
              <c:numCache>
                <c:formatCode>General</c:formatCode>
                <c:ptCount val="5"/>
                <c:pt idx="0">
                  <c:v>0</c:v>
                </c:pt>
                <c:pt idx="1">
                  <c:v>32.339705880812645</c:v>
                </c:pt>
                <c:pt idx="2">
                  <c:v>96.015374490027526</c:v>
                </c:pt>
                <c:pt idx="3">
                  <c:v>135.90399746125422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F2-4257-A987-A2ABA317A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28992"/>
        <c:axId val="328829824"/>
      </c:scatterChart>
      <c:valAx>
        <c:axId val="328828992"/>
        <c:scaling>
          <c:orientation val="minMax"/>
          <c:max val="25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29824"/>
        <c:crosses val="autoZero"/>
        <c:crossBetween val="midCat"/>
        <c:majorUnit val="24"/>
      </c:valAx>
      <c:valAx>
        <c:axId val="3288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increment (%)</a:t>
                </a:r>
              </a:p>
            </c:rich>
          </c:tx>
          <c:layout>
            <c:manualLayout>
              <c:xMode val="edge"/>
              <c:yMode val="edge"/>
              <c:x val="1.6097112860892389E-2"/>
              <c:y val="0.26470253718285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28992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1668307086614174"/>
          <c:y val="0.47280037911927675"/>
          <c:w val="0.2236702769011396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Imbibition2!$A$5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Imbibition2!$B$5:$F$5</c:f>
              <c:numCache>
                <c:formatCode>General</c:formatCode>
                <c:ptCount val="5"/>
                <c:pt idx="0">
                  <c:v>0</c:v>
                </c:pt>
                <c:pt idx="1">
                  <c:v>25.490196078431381</c:v>
                </c:pt>
                <c:pt idx="2">
                  <c:v>86.274509803921589</c:v>
                </c:pt>
                <c:pt idx="3">
                  <c:v>139.21568627450981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A-4908-8AFD-F7256CDE1503}"/>
            </c:ext>
          </c:extLst>
        </c:ser>
        <c:ser>
          <c:idx val="1"/>
          <c:order val="1"/>
          <c:tx>
            <c:strRef>
              <c:f>Imbibition2!$A$6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Imbibition2!$B$6:$F$6</c:f>
              <c:numCache>
                <c:formatCode>General</c:formatCode>
                <c:ptCount val="5"/>
                <c:pt idx="0">
                  <c:v>0</c:v>
                </c:pt>
                <c:pt idx="1">
                  <c:v>12.499999999999989</c:v>
                </c:pt>
                <c:pt idx="2">
                  <c:v>12.499999999999989</c:v>
                </c:pt>
                <c:pt idx="3">
                  <c:v>134.37499999999997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A-4908-8AFD-F7256CDE1503}"/>
            </c:ext>
          </c:extLst>
        </c:ser>
        <c:ser>
          <c:idx val="2"/>
          <c:order val="2"/>
          <c:tx>
            <c:strRef>
              <c:f>Imbibition2!$A$7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Imbibition2!$B$7:$F$7</c:f>
              <c:numCache>
                <c:formatCode>General</c:formatCode>
                <c:ptCount val="5"/>
                <c:pt idx="0">
                  <c:v>0</c:v>
                </c:pt>
                <c:pt idx="1">
                  <c:v>6.2500000000000053</c:v>
                </c:pt>
                <c:pt idx="2">
                  <c:v>15.624999999999991</c:v>
                </c:pt>
                <c:pt idx="3">
                  <c:v>174.99999999999997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DA-4908-8AFD-F7256CDE1503}"/>
            </c:ext>
          </c:extLst>
        </c:ser>
        <c:ser>
          <c:idx val="3"/>
          <c:order val="3"/>
          <c:tx>
            <c:strRef>
              <c:f>Imbibition2!$A$8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2.2222222222222245</c:v>
                </c:pt>
                <c:pt idx="4">
                  <c:v>188.88888888888891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DA-4908-8AFD-F7256CDE1503}"/>
            </c:ext>
          </c:extLst>
        </c:ser>
        <c:ser>
          <c:idx val="4"/>
          <c:order val="4"/>
          <c:tx>
            <c:strRef>
              <c:f>Imbibition2!$A$9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89.999999999999986</c:v>
                </c:pt>
                <c:pt idx="4">
                  <c:v>219.99999999999997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DA-4908-8AFD-F7256CDE1503}"/>
            </c:ext>
          </c:extLst>
        </c:ser>
        <c:ser>
          <c:idx val="5"/>
          <c:order val="5"/>
          <c:tx>
            <c:strRef>
              <c:f>Imbibition2!$A$10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Imbibition2!$B$10:$F$10</c:f>
              <c:numCache>
                <c:formatCode>General</c:formatCode>
                <c:ptCount val="5"/>
                <c:pt idx="0">
                  <c:v>0</c:v>
                </c:pt>
                <c:pt idx="1">
                  <c:v>2.7027027027027053</c:v>
                </c:pt>
                <c:pt idx="2">
                  <c:v>2.7027027027027053</c:v>
                </c:pt>
                <c:pt idx="3">
                  <c:v>118.91891891891895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8DA-4908-8AFD-F7256CDE1503}"/>
            </c:ext>
          </c:extLst>
        </c:ser>
        <c:ser>
          <c:idx val="6"/>
          <c:order val="6"/>
          <c:tx>
            <c:strRef>
              <c:f>Imbibition2!$A$11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Imbibition2!$B$11:$F$11</c:f>
              <c:numCache>
                <c:formatCode>General</c:formatCode>
                <c:ptCount val="5"/>
                <c:pt idx="0">
                  <c:v>0</c:v>
                </c:pt>
                <c:pt idx="1">
                  <c:v>70.588235294117652</c:v>
                </c:pt>
                <c:pt idx="2">
                  <c:v>103.92156862745099</c:v>
                </c:pt>
                <c:pt idx="3">
                  <c:v>141.17647058823533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8DA-4908-8AFD-F7256CDE1503}"/>
            </c:ext>
          </c:extLst>
        </c:ser>
        <c:ser>
          <c:idx val="7"/>
          <c:order val="7"/>
          <c:tx>
            <c:strRef>
              <c:f>Imbibition2!$A$12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1.7543859649122824</c:v>
                </c:pt>
                <c:pt idx="4">
                  <c:v>124.56140350877195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8DA-4908-8AFD-F7256CDE1503}"/>
            </c:ext>
          </c:extLst>
        </c:ser>
        <c:ser>
          <c:idx val="8"/>
          <c:order val="8"/>
          <c:tx>
            <c:strRef>
              <c:f>Imbibition2!$A$13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Imbibition2!$B$13:$F$13</c:f>
              <c:numCache>
                <c:formatCode>General</c:formatCode>
                <c:ptCount val="5"/>
                <c:pt idx="0">
                  <c:v>0</c:v>
                </c:pt>
                <c:pt idx="1">
                  <c:v>-4.7619047619047654</c:v>
                </c:pt>
                <c:pt idx="2">
                  <c:v>-4.7619047619047654</c:v>
                </c:pt>
                <c:pt idx="3">
                  <c:v>16.666666666666664</c:v>
                </c:pt>
                <c:pt idx="4">
                  <c:v>192.8571428571428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8DA-4908-8AFD-F7256CDE1503}"/>
            </c:ext>
          </c:extLst>
        </c:ser>
        <c:ser>
          <c:idx val="9"/>
          <c:order val="9"/>
          <c:tx>
            <c:strRef>
              <c:f>Imbibition2!$A$14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102.17391304347827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8DA-4908-8AFD-F7256CDE1503}"/>
            </c:ext>
          </c:extLst>
        </c:ser>
        <c:ser>
          <c:idx val="10"/>
          <c:order val="10"/>
          <c:tx>
            <c:strRef>
              <c:f>Imbibition2!$A$15</c:f>
              <c:strCache>
                <c:ptCount val="1"/>
                <c:pt idx="0">
                  <c:v>11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94.871794871794862</c:v>
                </c:pt>
                <c:pt idx="4">
                  <c:v>225.64102564102564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8DA-4908-8AFD-F7256CDE1503}"/>
            </c:ext>
          </c:extLst>
        </c:ser>
        <c:ser>
          <c:idx val="11"/>
          <c:order val="11"/>
          <c:tx>
            <c:strRef>
              <c:f>Imbibition2!$A$16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111.7647058823529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8DA-4908-8AFD-F7256CDE1503}"/>
            </c:ext>
          </c:extLst>
        </c:ser>
        <c:ser>
          <c:idx val="12"/>
          <c:order val="12"/>
          <c:tx>
            <c:strRef>
              <c:f>Imbibition2!$A$17</c:f>
              <c:strCache>
                <c:ptCount val="1"/>
                <c:pt idx="0">
                  <c:v>13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Imbibition2!$B$17:$F$17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83.673469387755091</c:v>
                </c:pt>
                <c:pt idx="4">
                  <c:v>157.14285714285714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8DA-4908-8AFD-F7256CDE1503}"/>
            </c:ext>
          </c:extLst>
        </c:ser>
        <c:ser>
          <c:idx val="13"/>
          <c:order val="13"/>
          <c:tx>
            <c:strRef>
              <c:f>Imbibition2!$A$18</c:f>
              <c:strCache>
                <c:ptCount val="1"/>
                <c:pt idx="0">
                  <c:v>14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Imbibition2!$B$18:$F$18</c:f>
              <c:numCache>
                <c:formatCode>General</c:formatCode>
                <c:ptCount val="5"/>
                <c:pt idx="0">
                  <c:v>0</c:v>
                </c:pt>
                <c:pt idx="1">
                  <c:v>58.695652173913039</c:v>
                </c:pt>
                <c:pt idx="2">
                  <c:v>93.478260869565204</c:v>
                </c:pt>
                <c:pt idx="3">
                  <c:v>184.78260869565219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8DA-4908-8AFD-F7256CDE1503}"/>
            </c:ext>
          </c:extLst>
        </c:ser>
        <c:ser>
          <c:idx val="14"/>
          <c:order val="14"/>
          <c:tx>
            <c:strRef>
              <c:f>Imbibition2!$A$19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Imbibition2!$B$19:$F$19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129.72972972972977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8DA-4908-8AFD-F7256CDE1503}"/>
            </c:ext>
          </c:extLst>
        </c:ser>
        <c:ser>
          <c:idx val="15"/>
          <c:order val="15"/>
          <c:tx>
            <c:strRef>
              <c:f>Imbibition2!$A$20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Imbibition2!$B$20:$F$20</c:f>
              <c:numCache>
                <c:formatCode>General</c:formatCode>
                <c:ptCount val="5"/>
                <c:pt idx="0">
                  <c:v>0</c:v>
                </c:pt>
                <c:pt idx="1">
                  <c:v>94.444444444444471</c:v>
                </c:pt>
                <c:pt idx="2">
                  <c:v>113.8888888888889</c:v>
                </c:pt>
                <c:pt idx="3">
                  <c:v>161.11111111111114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8DA-4908-8AFD-F7256CDE1503}"/>
            </c:ext>
          </c:extLst>
        </c:ser>
        <c:ser>
          <c:idx val="16"/>
          <c:order val="16"/>
          <c:tx>
            <c:strRef>
              <c:f>Imbibition2!$A$21</c:f>
              <c:strCache>
                <c:ptCount val="1"/>
                <c:pt idx="0">
                  <c:v>17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Imbibition2!$B$21:$F$21</c:f>
              <c:numCache>
                <c:formatCode>General</c:formatCode>
                <c:ptCount val="5"/>
                <c:pt idx="0">
                  <c:v>0</c:v>
                </c:pt>
                <c:pt idx="1">
                  <c:v>1.999999999999988</c:v>
                </c:pt>
                <c:pt idx="2">
                  <c:v>1.999999999999988</c:v>
                </c:pt>
                <c:pt idx="3">
                  <c:v>9.9999999999999947</c:v>
                </c:pt>
                <c:pt idx="4">
                  <c:v>147.99999999999997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8DA-4908-8AFD-F7256CDE1503}"/>
            </c:ext>
          </c:extLst>
        </c:ser>
        <c:ser>
          <c:idx val="17"/>
          <c:order val="17"/>
          <c:tx>
            <c:strRef>
              <c:f>Imbibition2!$A$22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Imbibition2!$B$22:$F$22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16.949152542372897</c:v>
                </c:pt>
                <c:pt idx="4">
                  <c:v>79.661016949152554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8DA-4908-8AFD-F7256CDE1503}"/>
            </c:ext>
          </c:extLst>
        </c:ser>
        <c:ser>
          <c:idx val="18"/>
          <c:order val="18"/>
          <c:tx>
            <c:strRef>
              <c:f>Imbibition2!$A$23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Imbibition2!$B$23:$F$23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275.75757575757575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8DA-4908-8AFD-F7256CDE1503}"/>
            </c:ext>
          </c:extLst>
        </c:ser>
        <c:ser>
          <c:idx val="19"/>
          <c:order val="19"/>
          <c:tx>
            <c:strRef>
              <c:f>Imbibition2!$A$24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Imbibition2!$B$4:$F$4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</c:numCache>
            </c:numRef>
          </c:xVal>
          <c:yVal>
            <c:numRef>
              <c:f>Imbibition2!$B$24:$F$24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92.682926829268283</c:v>
                </c:pt>
                <c:pt idx="4">
                  <c:v>195.12195121951214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08DA-4908-8AFD-F7256CDE1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74528"/>
        <c:axId val="63173280"/>
      </c:scatterChart>
      <c:valAx>
        <c:axId val="6317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since incubation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3280"/>
        <c:crosses val="autoZero"/>
        <c:crossBetween val="midCat"/>
      </c:valAx>
      <c:valAx>
        <c:axId val="631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increase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4528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342901</xdr:colOff>
      <xdr:row>8</xdr:row>
      <xdr:rowOff>158750</xdr:rowOff>
    </xdr:from>
    <xdr:to>
      <xdr:col>24</xdr:col>
      <xdr:colOff>234951</xdr:colOff>
      <xdr:row>23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D729B-7F7D-9DE2-24A2-05366597D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561974</xdr:colOff>
      <xdr:row>7</xdr:row>
      <xdr:rowOff>114300</xdr:rowOff>
    </xdr:from>
    <xdr:to>
      <xdr:col>34</xdr:col>
      <xdr:colOff>165099</xdr:colOff>
      <xdr:row>34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A30A0E-BBCD-F682-75AE-15D002507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04BE-D996-4FAA-A4D6-834FC25AAD46}">
  <dimension ref="A1:F48"/>
  <sheetViews>
    <sheetView workbookViewId="0">
      <selection sqref="A1:XFD1048576"/>
    </sheetView>
  </sheetViews>
  <sheetFormatPr defaultRowHeight="14.5" x14ac:dyDescent="0.35"/>
  <cols>
    <col min="5" max="5" width="9.453125" bestFit="1" customWidth="1"/>
  </cols>
  <sheetData>
    <row r="1" spans="1:6" x14ac:dyDescent="0.35">
      <c r="A1" t="s">
        <v>0</v>
      </c>
    </row>
    <row r="2" spans="1:6" x14ac:dyDescent="0.35">
      <c r="A2" t="s">
        <v>3</v>
      </c>
      <c r="B2" t="s">
        <v>1</v>
      </c>
      <c r="C2">
        <v>11413</v>
      </c>
      <c r="D2">
        <v>19852286</v>
      </c>
    </row>
    <row r="3" spans="1:6" x14ac:dyDescent="0.35">
      <c r="B3" s="7">
        <v>45171</v>
      </c>
      <c r="C3" s="8"/>
      <c r="D3" s="8"/>
      <c r="E3" s="2">
        <v>45201</v>
      </c>
      <c r="F3" t="s">
        <v>13</v>
      </c>
    </row>
    <row r="4" spans="1:6" x14ac:dyDescent="0.35">
      <c r="A4" t="s">
        <v>2</v>
      </c>
      <c r="B4" s="1">
        <v>0.36458333333333331</v>
      </c>
      <c r="C4" s="1">
        <v>0.48958333333333331</v>
      </c>
      <c r="D4" s="1">
        <v>0.61458333333333337</v>
      </c>
      <c r="E4" s="1">
        <v>0.36458333333333331</v>
      </c>
      <c r="F4" s="1">
        <v>0.36458333333333331</v>
      </c>
    </row>
    <row r="5" spans="1:6" x14ac:dyDescent="0.35">
      <c r="A5">
        <v>1</v>
      </c>
      <c r="B5">
        <v>5.0999999999999997E-2</v>
      </c>
      <c r="C5">
        <v>6.4000000000000001E-2</v>
      </c>
      <c r="D5">
        <v>9.5000000000000001E-2</v>
      </c>
      <c r="E5" s="5">
        <v>0.122</v>
      </c>
    </row>
    <row r="6" spans="1:6" x14ac:dyDescent="0.35">
      <c r="A6">
        <v>2</v>
      </c>
      <c r="B6">
        <v>3.2000000000000001E-2</v>
      </c>
      <c r="C6">
        <v>3.5999999999999997E-2</v>
      </c>
      <c r="D6">
        <v>3.5999999999999997E-2</v>
      </c>
      <c r="E6" s="5">
        <v>7.4999999999999997E-2</v>
      </c>
    </row>
    <row r="7" spans="1:6" x14ac:dyDescent="0.35">
      <c r="A7">
        <v>3</v>
      </c>
      <c r="B7">
        <v>3.2000000000000001E-2</v>
      </c>
      <c r="C7">
        <v>3.4000000000000002E-2</v>
      </c>
      <c r="D7">
        <v>3.6999999999999998E-2</v>
      </c>
      <c r="E7" s="5">
        <v>8.7999999999999995E-2</v>
      </c>
    </row>
    <row r="8" spans="1:6" x14ac:dyDescent="0.35">
      <c r="A8">
        <v>4</v>
      </c>
      <c r="B8">
        <v>4.4999999999999998E-2</v>
      </c>
      <c r="C8">
        <v>4.4999999999999998E-2</v>
      </c>
      <c r="D8">
        <v>4.4999999999999998E-2</v>
      </c>
      <c r="E8">
        <v>4.5999999999999999E-2</v>
      </c>
      <c r="F8" s="5">
        <v>0.13</v>
      </c>
    </row>
    <row r="9" spans="1:6" x14ac:dyDescent="0.35">
      <c r="A9">
        <v>5</v>
      </c>
      <c r="B9">
        <v>0.04</v>
      </c>
      <c r="C9">
        <v>0.04</v>
      </c>
      <c r="D9">
        <v>0.04</v>
      </c>
      <c r="E9">
        <v>7.5999999999999998E-2</v>
      </c>
      <c r="F9" s="5">
        <v>0.128</v>
      </c>
    </row>
    <row r="10" spans="1:6" x14ac:dyDescent="0.35">
      <c r="A10">
        <v>6</v>
      </c>
      <c r="B10">
        <v>3.6999999999999998E-2</v>
      </c>
      <c r="C10">
        <v>3.7999999999999999E-2</v>
      </c>
      <c r="D10">
        <v>3.7999999999999999E-2</v>
      </c>
      <c r="E10" s="5">
        <v>8.1000000000000003E-2</v>
      </c>
    </row>
    <row r="11" spans="1:6" x14ac:dyDescent="0.35">
      <c r="A11">
        <v>7</v>
      </c>
      <c r="B11">
        <v>5.0999999999999997E-2</v>
      </c>
      <c r="C11">
        <v>8.6999999999999994E-2</v>
      </c>
      <c r="D11">
        <v>0.104</v>
      </c>
      <c r="E11" s="5">
        <v>0.123</v>
      </c>
    </row>
    <row r="12" spans="1:6" x14ac:dyDescent="0.35">
      <c r="A12">
        <v>8</v>
      </c>
      <c r="B12">
        <v>5.7000000000000002E-2</v>
      </c>
      <c r="C12">
        <v>5.7000000000000002E-2</v>
      </c>
      <c r="D12">
        <v>5.7000000000000002E-2</v>
      </c>
      <c r="E12">
        <v>5.8000000000000003E-2</v>
      </c>
      <c r="F12" s="5">
        <v>0.128</v>
      </c>
    </row>
    <row r="13" spans="1:6" x14ac:dyDescent="0.35">
      <c r="A13">
        <v>9</v>
      </c>
      <c r="B13">
        <v>4.2000000000000003E-2</v>
      </c>
      <c r="C13">
        <v>0.04</v>
      </c>
      <c r="D13">
        <v>0.04</v>
      </c>
      <c r="E13">
        <v>4.9000000000000002E-2</v>
      </c>
      <c r="F13" s="5">
        <v>0.123</v>
      </c>
    </row>
    <row r="14" spans="1:6" x14ac:dyDescent="0.35">
      <c r="A14">
        <v>10</v>
      </c>
      <c r="B14">
        <v>4.5999999999999999E-2</v>
      </c>
      <c r="C14">
        <v>4.5999999999999999E-2</v>
      </c>
      <c r="D14">
        <v>4.5999999999999999E-2</v>
      </c>
      <c r="E14" s="5">
        <v>9.2999999999999999E-2</v>
      </c>
    </row>
    <row r="15" spans="1:6" x14ac:dyDescent="0.35">
      <c r="A15">
        <v>11</v>
      </c>
      <c r="B15">
        <v>3.9E-2</v>
      </c>
      <c r="C15">
        <v>3.9E-2</v>
      </c>
      <c r="D15">
        <v>3.9E-2</v>
      </c>
      <c r="E15">
        <v>7.5999999999999998E-2</v>
      </c>
      <c r="F15" s="5">
        <v>0.127</v>
      </c>
    </row>
    <row r="16" spans="1:6" x14ac:dyDescent="0.35">
      <c r="A16">
        <v>12</v>
      </c>
      <c r="B16">
        <v>3.4000000000000002E-2</v>
      </c>
      <c r="C16">
        <v>3.4000000000000002E-2</v>
      </c>
      <c r="D16">
        <v>3.4000000000000002E-2</v>
      </c>
      <c r="E16" s="5">
        <v>7.1999999999999995E-2</v>
      </c>
    </row>
    <row r="17" spans="1:6" x14ac:dyDescent="0.35">
      <c r="A17">
        <v>13</v>
      </c>
      <c r="B17">
        <v>4.9000000000000002E-2</v>
      </c>
      <c r="C17">
        <v>4.9000000000000002E-2</v>
      </c>
      <c r="D17">
        <v>4.9000000000000002E-2</v>
      </c>
      <c r="E17">
        <v>0.09</v>
      </c>
      <c r="F17" s="5">
        <v>0.126</v>
      </c>
    </row>
    <row r="18" spans="1:6" x14ac:dyDescent="0.35">
      <c r="A18">
        <v>14</v>
      </c>
      <c r="B18">
        <v>4.5999999999999999E-2</v>
      </c>
      <c r="C18">
        <v>7.2999999999999995E-2</v>
      </c>
      <c r="D18">
        <v>8.8999999999999996E-2</v>
      </c>
      <c r="E18" s="5">
        <v>0.13100000000000001</v>
      </c>
    </row>
    <row r="19" spans="1:6" x14ac:dyDescent="0.35">
      <c r="A19">
        <v>15</v>
      </c>
      <c r="B19">
        <v>3.6999999999999998E-2</v>
      </c>
      <c r="C19">
        <v>3.6999999999999998E-2</v>
      </c>
      <c r="D19">
        <v>3.6999999999999998E-2</v>
      </c>
      <c r="E19" s="5">
        <v>8.5000000000000006E-2</v>
      </c>
    </row>
    <row r="20" spans="1:6" x14ac:dyDescent="0.35">
      <c r="A20">
        <v>16</v>
      </c>
      <c r="B20">
        <v>3.5999999999999997E-2</v>
      </c>
      <c r="C20">
        <v>7.0000000000000007E-2</v>
      </c>
      <c r="D20">
        <v>7.6999999999999999E-2</v>
      </c>
      <c r="E20" s="5">
        <v>9.4E-2</v>
      </c>
    </row>
    <row r="21" spans="1:6" x14ac:dyDescent="0.35">
      <c r="A21">
        <v>17</v>
      </c>
      <c r="B21">
        <v>0.05</v>
      </c>
      <c r="C21">
        <v>5.0999999999999997E-2</v>
      </c>
      <c r="D21">
        <v>5.0999999999999997E-2</v>
      </c>
      <c r="E21">
        <v>5.5E-2</v>
      </c>
      <c r="F21" s="5">
        <v>0.124</v>
      </c>
    </row>
    <row r="22" spans="1:6" x14ac:dyDescent="0.35">
      <c r="A22">
        <v>18</v>
      </c>
      <c r="B22">
        <v>5.8999999999999997E-2</v>
      </c>
      <c r="C22">
        <v>5.8999999999999997E-2</v>
      </c>
      <c r="D22">
        <v>5.8999999999999997E-2</v>
      </c>
      <c r="E22">
        <v>6.9000000000000006E-2</v>
      </c>
      <c r="F22" s="5">
        <v>0.106</v>
      </c>
    </row>
    <row r="23" spans="1:6" x14ac:dyDescent="0.35">
      <c r="A23">
        <v>19</v>
      </c>
      <c r="B23">
        <v>3.3000000000000002E-2</v>
      </c>
      <c r="C23">
        <v>3.3000000000000002E-2</v>
      </c>
      <c r="D23">
        <v>3.3000000000000002E-2</v>
      </c>
      <c r="E23">
        <v>6.6000000000000003E-2</v>
      </c>
      <c r="F23" s="5">
        <v>0.124</v>
      </c>
    </row>
    <row r="24" spans="1:6" x14ac:dyDescent="0.35">
      <c r="A24">
        <v>20</v>
      </c>
      <c r="B24">
        <v>4.1000000000000002E-2</v>
      </c>
      <c r="C24">
        <v>4.1000000000000002E-2</v>
      </c>
      <c r="D24">
        <v>4.1000000000000002E-2</v>
      </c>
      <c r="E24">
        <v>7.9000000000000001E-2</v>
      </c>
      <c r="F24" s="5">
        <v>0.121</v>
      </c>
    </row>
    <row r="26" spans="1:6" x14ac:dyDescent="0.35">
      <c r="B26" t="s">
        <v>4</v>
      </c>
    </row>
    <row r="27" spans="1:6" x14ac:dyDescent="0.35">
      <c r="A27" t="s">
        <v>3</v>
      </c>
      <c r="B27" s="7">
        <v>45171</v>
      </c>
      <c r="C27" s="8"/>
      <c r="D27" s="8"/>
      <c r="E27" s="2">
        <v>45201</v>
      </c>
    </row>
    <row r="28" spans="1:6" x14ac:dyDescent="0.35">
      <c r="A28" t="s">
        <v>2</v>
      </c>
      <c r="B28" s="1">
        <v>0.36458333333333331</v>
      </c>
      <c r="C28" s="1">
        <v>0.48958333333333331</v>
      </c>
      <c r="D28" s="1">
        <v>0.61458333333333337</v>
      </c>
      <c r="E28" s="1">
        <v>0.36458333333333331</v>
      </c>
    </row>
    <row r="29" spans="1:6" x14ac:dyDescent="0.35">
      <c r="A29">
        <v>1</v>
      </c>
      <c r="B29">
        <v>5.8999999999999997E-2</v>
      </c>
      <c r="C29">
        <v>7.1999999999999995E-2</v>
      </c>
      <c r="D29">
        <v>9.8000000000000004E-2</v>
      </c>
      <c r="E29" s="5">
        <v>0.11700000000000001</v>
      </c>
    </row>
    <row r="30" spans="1:6" x14ac:dyDescent="0.35">
      <c r="A30">
        <v>2</v>
      </c>
      <c r="B30">
        <v>4.2999999999999997E-2</v>
      </c>
      <c r="C30">
        <v>0.05</v>
      </c>
      <c r="D30">
        <v>0.115</v>
      </c>
      <c r="E30" s="5">
        <v>0.14599999999999999</v>
      </c>
    </row>
    <row r="31" spans="1:6" x14ac:dyDescent="0.35">
      <c r="A31">
        <v>3</v>
      </c>
      <c r="B31">
        <v>3.6999999999999998E-2</v>
      </c>
      <c r="C31">
        <v>4.9000000000000002E-2</v>
      </c>
      <c r="D31">
        <v>8.2000000000000003E-2</v>
      </c>
      <c r="E31" s="5">
        <v>9.9000000000000005E-2</v>
      </c>
    </row>
    <row r="32" spans="1:6" x14ac:dyDescent="0.35">
      <c r="A32">
        <v>4</v>
      </c>
      <c r="B32">
        <v>3.5999999999999997E-2</v>
      </c>
      <c r="C32">
        <v>4.5999999999999999E-2</v>
      </c>
      <c r="D32">
        <v>7.1999999999999995E-2</v>
      </c>
      <c r="E32" s="5">
        <v>7.9000000000000001E-2</v>
      </c>
    </row>
    <row r="33" spans="1:5" x14ac:dyDescent="0.35">
      <c r="A33">
        <v>5</v>
      </c>
      <c r="B33">
        <v>3.6999999999999998E-2</v>
      </c>
      <c r="C33">
        <v>4.8000000000000001E-2</v>
      </c>
      <c r="D33">
        <v>7.1999999999999995E-2</v>
      </c>
      <c r="E33" s="5">
        <v>8.3000000000000004E-2</v>
      </c>
    </row>
    <row r="34" spans="1:5" x14ac:dyDescent="0.35">
      <c r="A34">
        <v>6</v>
      </c>
      <c r="B34">
        <v>5.1999999999999998E-2</v>
      </c>
      <c r="C34">
        <v>6.4000000000000001E-2</v>
      </c>
      <c r="D34">
        <v>7.2999999999999995E-2</v>
      </c>
      <c r="E34" s="5">
        <v>8.5999999999999993E-2</v>
      </c>
    </row>
    <row r="35" spans="1:5" x14ac:dyDescent="0.35">
      <c r="A35">
        <v>7</v>
      </c>
      <c r="B35">
        <v>4.3999999999999997E-2</v>
      </c>
      <c r="C35">
        <v>5.7000000000000002E-2</v>
      </c>
      <c r="D35">
        <v>0.09</v>
      </c>
      <c r="E35" s="5">
        <v>0.11799999999999999</v>
      </c>
    </row>
    <row r="36" spans="1:5" x14ac:dyDescent="0.35">
      <c r="A36">
        <v>8</v>
      </c>
      <c r="B36">
        <v>3.2000000000000001E-2</v>
      </c>
      <c r="C36">
        <v>4.8000000000000001E-2</v>
      </c>
      <c r="D36">
        <v>9.0999999999999998E-2</v>
      </c>
      <c r="E36" s="5">
        <v>0.11799999999999999</v>
      </c>
    </row>
    <row r="37" spans="1:5" x14ac:dyDescent="0.35">
      <c r="A37">
        <v>9</v>
      </c>
      <c r="B37">
        <v>3.1E-2</v>
      </c>
      <c r="C37">
        <v>4.2999999999999997E-2</v>
      </c>
      <c r="D37">
        <v>6.2E-2</v>
      </c>
      <c r="E37" s="5">
        <v>7.6999999999999999E-2</v>
      </c>
    </row>
    <row r="38" spans="1:5" x14ac:dyDescent="0.35">
      <c r="A38">
        <v>10</v>
      </c>
      <c r="B38">
        <v>3.4000000000000002E-2</v>
      </c>
      <c r="C38">
        <v>6.0999999999999999E-2</v>
      </c>
      <c r="D38">
        <v>6.8000000000000005E-2</v>
      </c>
      <c r="E38" s="5">
        <v>8.3000000000000004E-2</v>
      </c>
    </row>
    <row r="39" spans="1:5" x14ac:dyDescent="0.35">
      <c r="A39">
        <v>11</v>
      </c>
      <c r="B39">
        <v>3.7999999999999999E-2</v>
      </c>
      <c r="C39">
        <v>6.3E-2</v>
      </c>
      <c r="D39">
        <v>6.3E-2</v>
      </c>
      <c r="E39" s="5">
        <v>7.3999999999999996E-2</v>
      </c>
    </row>
    <row r="40" spans="1:5" x14ac:dyDescent="0.35">
      <c r="A40">
        <v>12</v>
      </c>
      <c r="B40">
        <v>4.8000000000000001E-2</v>
      </c>
      <c r="C40">
        <v>0.06</v>
      </c>
      <c r="D40">
        <v>7.4999999999999997E-2</v>
      </c>
      <c r="E40" s="5">
        <v>8.7999999999999995E-2</v>
      </c>
    </row>
    <row r="41" spans="1:5" x14ac:dyDescent="0.35">
      <c r="A41">
        <v>13</v>
      </c>
      <c r="B41">
        <v>4.9000000000000002E-2</v>
      </c>
      <c r="C41">
        <v>5.8999999999999997E-2</v>
      </c>
      <c r="D41">
        <v>9.1999999999999998E-2</v>
      </c>
      <c r="E41" s="5">
        <v>0.10299999999999999</v>
      </c>
    </row>
    <row r="42" spans="1:5" x14ac:dyDescent="0.35">
      <c r="A42">
        <v>14</v>
      </c>
      <c r="B42">
        <v>4.5999999999999999E-2</v>
      </c>
      <c r="C42">
        <v>0.05</v>
      </c>
      <c r="D42">
        <v>9.2999999999999999E-2</v>
      </c>
      <c r="E42" s="5">
        <v>0.122</v>
      </c>
    </row>
    <row r="43" spans="1:5" x14ac:dyDescent="0.35">
      <c r="A43">
        <v>15</v>
      </c>
      <c r="B43">
        <v>4.3999999999999997E-2</v>
      </c>
      <c r="C43">
        <v>6.2E-2</v>
      </c>
      <c r="D43">
        <v>7.8E-2</v>
      </c>
      <c r="E43" s="5">
        <v>9.4E-2</v>
      </c>
    </row>
    <row r="44" spans="1:5" x14ac:dyDescent="0.35">
      <c r="A44">
        <v>16</v>
      </c>
      <c r="B44">
        <v>3.4000000000000002E-2</v>
      </c>
      <c r="C44">
        <v>5.6000000000000001E-2</v>
      </c>
      <c r="D44">
        <v>0.09</v>
      </c>
      <c r="E44" s="5">
        <v>9.5000000000000001E-2</v>
      </c>
    </row>
    <row r="45" spans="1:5" x14ac:dyDescent="0.35">
      <c r="A45">
        <v>17</v>
      </c>
      <c r="B45">
        <v>4.3999999999999997E-2</v>
      </c>
      <c r="C45">
        <v>5.6000000000000001E-2</v>
      </c>
      <c r="D45">
        <v>8.5999999999999993E-2</v>
      </c>
      <c r="E45" s="5">
        <v>0.108</v>
      </c>
    </row>
    <row r="46" spans="1:5" x14ac:dyDescent="0.35">
      <c r="A46">
        <v>18</v>
      </c>
      <c r="B46">
        <v>3.4000000000000002E-2</v>
      </c>
      <c r="C46">
        <v>4.3999999999999997E-2</v>
      </c>
      <c r="D46">
        <v>8.6999999999999994E-2</v>
      </c>
      <c r="E46" s="5">
        <v>0.108</v>
      </c>
    </row>
    <row r="47" spans="1:5" x14ac:dyDescent="0.35">
      <c r="A47">
        <v>19</v>
      </c>
      <c r="B47">
        <v>4.3999999999999997E-2</v>
      </c>
      <c r="C47">
        <v>5.2999999999999999E-2</v>
      </c>
      <c r="D47">
        <v>6.8000000000000005E-2</v>
      </c>
      <c r="E47" s="5">
        <v>7.3999999999999996E-2</v>
      </c>
    </row>
    <row r="48" spans="1:5" x14ac:dyDescent="0.35">
      <c r="A48">
        <v>20</v>
      </c>
      <c r="B48">
        <v>4.9000000000000002E-2</v>
      </c>
      <c r="C48">
        <v>6.0999999999999999E-2</v>
      </c>
      <c r="D48">
        <v>8.4000000000000005E-2</v>
      </c>
      <c r="E48" s="5">
        <v>0.10199999999999999</v>
      </c>
    </row>
  </sheetData>
  <mergeCells count="2">
    <mergeCell ref="B3:D3"/>
    <mergeCell ref="B27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CD6C-AE1E-46A5-85D2-BD6C218B17C6}">
  <dimension ref="A1:K48"/>
  <sheetViews>
    <sheetView workbookViewId="0">
      <selection activeCell="N47" sqref="N47"/>
    </sheetView>
  </sheetViews>
  <sheetFormatPr defaultRowHeight="14.5" x14ac:dyDescent="0.35"/>
  <cols>
    <col min="8" max="8" width="9.453125" bestFit="1" customWidth="1"/>
    <col min="9" max="9" width="9.453125" customWidth="1"/>
  </cols>
  <sheetData>
    <row r="1" spans="1:11" x14ac:dyDescent="0.35">
      <c r="A1" t="s">
        <v>0</v>
      </c>
    </row>
    <row r="2" spans="1:11" x14ac:dyDescent="0.35">
      <c r="A2" t="s">
        <v>3</v>
      </c>
      <c r="B2" t="s">
        <v>1</v>
      </c>
      <c r="D2">
        <v>11413</v>
      </c>
      <c r="F2">
        <v>19852286</v>
      </c>
    </row>
    <row r="3" spans="1:11" x14ac:dyDescent="0.35">
      <c r="B3" s="7">
        <v>45171</v>
      </c>
      <c r="C3" s="7"/>
      <c r="D3" s="8"/>
      <c r="E3" s="8"/>
      <c r="F3" s="8"/>
      <c r="G3" s="4"/>
      <c r="H3" s="2">
        <v>45201</v>
      </c>
      <c r="I3" s="2"/>
      <c r="J3" t="s">
        <v>13</v>
      </c>
    </row>
    <row r="4" spans="1:11" x14ac:dyDescent="0.35">
      <c r="A4" t="s">
        <v>2</v>
      </c>
      <c r="B4" s="1">
        <v>0.36458333333333331</v>
      </c>
      <c r="C4" s="1"/>
      <c r="D4" s="1">
        <v>0.48958333333333331</v>
      </c>
      <c r="E4" s="1"/>
      <c r="F4" s="1">
        <v>0.61458333333333337</v>
      </c>
      <c r="G4" s="1"/>
      <c r="H4" s="1">
        <v>0.36458333333333331</v>
      </c>
      <c r="I4" s="1"/>
      <c r="J4" s="1">
        <v>0.36458333333333331</v>
      </c>
    </row>
    <row r="5" spans="1:11" x14ac:dyDescent="0.35">
      <c r="A5">
        <v>1</v>
      </c>
      <c r="B5">
        <v>5.0999999999999997E-2</v>
      </c>
      <c r="C5">
        <f>(B5-B5)/B5 *100</f>
        <v>0</v>
      </c>
      <c r="D5">
        <v>6.4000000000000001E-2</v>
      </c>
      <c r="E5">
        <f>(D5-B5)/B5 *100</f>
        <v>25.490196078431381</v>
      </c>
      <c r="F5">
        <v>9.5000000000000001E-2</v>
      </c>
      <c r="G5">
        <f>(F5-B5)/B5 *100</f>
        <v>86.274509803921589</v>
      </c>
      <c r="H5" s="5">
        <v>0.122</v>
      </c>
      <c r="I5">
        <f>(H5-B5)/B5 *100</f>
        <v>139.21568627450981</v>
      </c>
      <c r="J5" s="5">
        <v>0.122</v>
      </c>
      <c r="K5">
        <f>(J5-B5)/B5 *100</f>
        <v>139.21568627450981</v>
      </c>
    </row>
    <row r="6" spans="1:11" x14ac:dyDescent="0.35">
      <c r="A6">
        <v>2</v>
      </c>
      <c r="B6">
        <v>3.2000000000000001E-2</v>
      </c>
      <c r="C6">
        <f t="shared" ref="C6:C24" si="0">(B6-B6)/B6 *100</f>
        <v>0</v>
      </c>
      <c r="D6">
        <v>3.5999999999999997E-2</v>
      </c>
      <c r="E6">
        <f t="shared" ref="E6:E24" si="1">(D6-B6)/B6 *100</f>
        <v>12.499999999999989</v>
      </c>
      <c r="F6">
        <v>3.5999999999999997E-2</v>
      </c>
      <c r="G6">
        <f t="shared" ref="G6:G24" si="2">(F6-B6)/B6 *100</f>
        <v>12.499999999999989</v>
      </c>
      <c r="H6" s="5">
        <v>7.4999999999999997E-2</v>
      </c>
      <c r="I6">
        <f t="shared" ref="I6:I23" si="3">(H6-B6)/B6 *100</f>
        <v>134.37499999999997</v>
      </c>
      <c r="J6" s="5">
        <v>7.4999999999999997E-2</v>
      </c>
      <c r="K6">
        <f t="shared" ref="K6:K24" si="4">(J6-B6)/B6 *100</f>
        <v>134.37499999999997</v>
      </c>
    </row>
    <row r="7" spans="1:11" x14ac:dyDescent="0.35">
      <c r="A7">
        <v>3</v>
      </c>
      <c r="B7">
        <v>3.2000000000000001E-2</v>
      </c>
      <c r="C7">
        <f t="shared" si="0"/>
        <v>0</v>
      </c>
      <c r="D7">
        <v>3.4000000000000002E-2</v>
      </c>
      <c r="E7">
        <f t="shared" si="1"/>
        <v>6.2500000000000053</v>
      </c>
      <c r="F7">
        <v>3.6999999999999998E-2</v>
      </c>
      <c r="G7">
        <f t="shared" si="2"/>
        <v>15.624999999999991</v>
      </c>
      <c r="H7" s="5">
        <v>8.7999999999999995E-2</v>
      </c>
      <c r="I7">
        <f t="shared" si="3"/>
        <v>174.99999999999997</v>
      </c>
      <c r="J7" s="5">
        <v>8.7999999999999995E-2</v>
      </c>
      <c r="K7">
        <f t="shared" si="4"/>
        <v>174.99999999999997</v>
      </c>
    </row>
    <row r="8" spans="1:11" x14ac:dyDescent="0.35">
      <c r="A8">
        <v>4</v>
      </c>
      <c r="B8">
        <v>4.4999999999999998E-2</v>
      </c>
      <c r="C8">
        <f t="shared" si="0"/>
        <v>0</v>
      </c>
      <c r="D8">
        <v>4.4999999999999998E-2</v>
      </c>
      <c r="E8">
        <f t="shared" si="1"/>
        <v>0</v>
      </c>
      <c r="F8">
        <v>4.4999999999999998E-2</v>
      </c>
      <c r="G8">
        <f t="shared" si="2"/>
        <v>0</v>
      </c>
      <c r="H8">
        <v>4.5999999999999999E-2</v>
      </c>
      <c r="I8">
        <f t="shared" si="3"/>
        <v>2.2222222222222245</v>
      </c>
      <c r="J8" s="5">
        <v>0.13</v>
      </c>
      <c r="K8">
        <f t="shared" si="4"/>
        <v>188.88888888888891</v>
      </c>
    </row>
    <row r="9" spans="1:11" x14ac:dyDescent="0.35">
      <c r="A9">
        <v>5</v>
      </c>
      <c r="B9">
        <v>0.04</v>
      </c>
      <c r="C9">
        <f t="shared" si="0"/>
        <v>0</v>
      </c>
      <c r="D9">
        <v>0.04</v>
      </c>
      <c r="E9">
        <f t="shared" si="1"/>
        <v>0</v>
      </c>
      <c r="F9">
        <v>0.04</v>
      </c>
      <c r="G9">
        <f t="shared" si="2"/>
        <v>0</v>
      </c>
      <c r="H9">
        <v>7.5999999999999998E-2</v>
      </c>
      <c r="I9">
        <f t="shared" si="3"/>
        <v>89.999999999999986</v>
      </c>
      <c r="J9" s="5">
        <v>0.128</v>
      </c>
      <c r="K9">
        <f t="shared" si="4"/>
        <v>219.99999999999997</v>
      </c>
    </row>
    <row r="10" spans="1:11" x14ac:dyDescent="0.35">
      <c r="A10">
        <v>6</v>
      </c>
      <c r="B10">
        <v>3.6999999999999998E-2</v>
      </c>
      <c r="C10">
        <f t="shared" si="0"/>
        <v>0</v>
      </c>
      <c r="D10">
        <v>3.7999999999999999E-2</v>
      </c>
      <c r="E10">
        <f t="shared" si="1"/>
        <v>2.7027027027027053</v>
      </c>
      <c r="F10">
        <v>3.7999999999999999E-2</v>
      </c>
      <c r="G10">
        <f t="shared" si="2"/>
        <v>2.7027027027027053</v>
      </c>
      <c r="H10" s="5">
        <v>8.1000000000000003E-2</v>
      </c>
      <c r="I10">
        <f t="shared" si="3"/>
        <v>118.91891891891895</v>
      </c>
      <c r="J10" s="5">
        <v>8.1000000000000003E-2</v>
      </c>
      <c r="K10">
        <f t="shared" si="4"/>
        <v>118.91891891891895</v>
      </c>
    </row>
    <row r="11" spans="1:11" x14ac:dyDescent="0.35">
      <c r="A11">
        <v>7</v>
      </c>
      <c r="B11">
        <v>5.0999999999999997E-2</v>
      </c>
      <c r="C11">
        <f t="shared" si="0"/>
        <v>0</v>
      </c>
      <c r="D11">
        <v>8.6999999999999994E-2</v>
      </c>
      <c r="E11">
        <f t="shared" si="1"/>
        <v>70.588235294117652</v>
      </c>
      <c r="F11">
        <v>0.104</v>
      </c>
      <c r="G11">
        <f t="shared" si="2"/>
        <v>103.92156862745099</v>
      </c>
      <c r="H11" s="5">
        <v>0.123</v>
      </c>
      <c r="I11">
        <f t="shared" si="3"/>
        <v>141.17647058823533</v>
      </c>
      <c r="J11" s="5">
        <v>0.123</v>
      </c>
      <c r="K11">
        <f t="shared" si="4"/>
        <v>141.17647058823533</v>
      </c>
    </row>
    <row r="12" spans="1:11" x14ac:dyDescent="0.35">
      <c r="A12">
        <v>8</v>
      </c>
      <c r="B12">
        <v>5.7000000000000002E-2</v>
      </c>
      <c r="C12">
        <f t="shared" si="0"/>
        <v>0</v>
      </c>
      <c r="D12">
        <v>5.7000000000000002E-2</v>
      </c>
      <c r="E12">
        <f t="shared" si="1"/>
        <v>0</v>
      </c>
      <c r="F12">
        <v>5.7000000000000002E-2</v>
      </c>
      <c r="G12">
        <f t="shared" si="2"/>
        <v>0</v>
      </c>
      <c r="H12">
        <v>5.8000000000000003E-2</v>
      </c>
      <c r="I12">
        <f t="shared" si="3"/>
        <v>1.7543859649122824</v>
      </c>
      <c r="J12" s="5">
        <v>0.128</v>
      </c>
      <c r="K12">
        <f t="shared" si="4"/>
        <v>124.56140350877195</v>
      </c>
    </row>
    <row r="13" spans="1:11" x14ac:dyDescent="0.35">
      <c r="A13">
        <v>9</v>
      </c>
      <c r="B13">
        <v>4.2000000000000003E-2</v>
      </c>
      <c r="C13">
        <f t="shared" si="0"/>
        <v>0</v>
      </c>
      <c r="D13">
        <v>0.04</v>
      </c>
      <c r="E13">
        <f t="shared" si="1"/>
        <v>-4.7619047619047654</v>
      </c>
      <c r="F13">
        <v>0.04</v>
      </c>
      <c r="G13">
        <f t="shared" si="2"/>
        <v>-4.7619047619047654</v>
      </c>
      <c r="H13">
        <v>4.9000000000000002E-2</v>
      </c>
      <c r="I13">
        <f t="shared" si="3"/>
        <v>16.666666666666664</v>
      </c>
      <c r="J13" s="5">
        <v>0.123</v>
      </c>
      <c r="K13">
        <f t="shared" si="4"/>
        <v>192.8571428571428</v>
      </c>
    </row>
    <row r="14" spans="1:11" x14ac:dyDescent="0.35">
      <c r="A14">
        <v>10</v>
      </c>
      <c r="B14">
        <v>4.5999999999999999E-2</v>
      </c>
      <c r="C14">
        <f t="shared" si="0"/>
        <v>0</v>
      </c>
      <c r="D14">
        <v>4.5999999999999999E-2</v>
      </c>
      <c r="E14">
        <f t="shared" si="1"/>
        <v>0</v>
      </c>
      <c r="F14">
        <v>4.5999999999999999E-2</v>
      </c>
      <c r="G14">
        <f t="shared" si="2"/>
        <v>0</v>
      </c>
      <c r="H14" s="5">
        <v>9.2999999999999999E-2</v>
      </c>
      <c r="I14">
        <f t="shared" si="3"/>
        <v>102.17391304347827</v>
      </c>
      <c r="J14" s="5">
        <v>9.2999999999999999E-2</v>
      </c>
      <c r="K14">
        <f t="shared" si="4"/>
        <v>102.17391304347827</v>
      </c>
    </row>
    <row r="15" spans="1:11" x14ac:dyDescent="0.35">
      <c r="A15">
        <v>11</v>
      </c>
      <c r="B15">
        <v>3.9E-2</v>
      </c>
      <c r="C15">
        <f t="shared" si="0"/>
        <v>0</v>
      </c>
      <c r="D15">
        <v>3.9E-2</v>
      </c>
      <c r="E15">
        <f t="shared" si="1"/>
        <v>0</v>
      </c>
      <c r="F15">
        <v>3.9E-2</v>
      </c>
      <c r="G15">
        <f t="shared" si="2"/>
        <v>0</v>
      </c>
      <c r="H15">
        <v>7.5999999999999998E-2</v>
      </c>
      <c r="I15">
        <f t="shared" si="3"/>
        <v>94.871794871794862</v>
      </c>
      <c r="J15" s="5">
        <v>0.127</v>
      </c>
      <c r="K15">
        <f t="shared" si="4"/>
        <v>225.64102564102564</v>
      </c>
    </row>
    <row r="16" spans="1:11" x14ac:dyDescent="0.35">
      <c r="A16">
        <v>12</v>
      </c>
      <c r="B16">
        <v>3.4000000000000002E-2</v>
      </c>
      <c r="C16">
        <f t="shared" si="0"/>
        <v>0</v>
      </c>
      <c r="D16">
        <v>3.4000000000000002E-2</v>
      </c>
      <c r="E16">
        <f t="shared" si="1"/>
        <v>0</v>
      </c>
      <c r="F16">
        <v>3.4000000000000002E-2</v>
      </c>
      <c r="G16">
        <f t="shared" si="2"/>
        <v>0</v>
      </c>
      <c r="H16" s="5">
        <v>7.1999999999999995E-2</v>
      </c>
      <c r="I16">
        <f t="shared" si="3"/>
        <v>111.7647058823529</v>
      </c>
      <c r="J16" s="5">
        <v>7.1999999999999995E-2</v>
      </c>
      <c r="K16">
        <f t="shared" si="4"/>
        <v>111.7647058823529</v>
      </c>
    </row>
    <row r="17" spans="1:11" x14ac:dyDescent="0.35">
      <c r="A17">
        <v>13</v>
      </c>
      <c r="B17">
        <v>4.9000000000000002E-2</v>
      </c>
      <c r="C17">
        <f t="shared" si="0"/>
        <v>0</v>
      </c>
      <c r="D17">
        <v>4.9000000000000002E-2</v>
      </c>
      <c r="E17">
        <f t="shared" si="1"/>
        <v>0</v>
      </c>
      <c r="F17">
        <v>4.9000000000000002E-2</v>
      </c>
      <c r="G17">
        <f t="shared" si="2"/>
        <v>0</v>
      </c>
      <c r="H17">
        <v>0.09</v>
      </c>
      <c r="I17">
        <f t="shared" si="3"/>
        <v>83.673469387755091</v>
      </c>
      <c r="J17" s="5">
        <v>0.126</v>
      </c>
      <c r="K17">
        <f t="shared" si="4"/>
        <v>157.14285714285714</v>
      </c>
    </row>
    <row r="18" spans="1:11" x14ac:dyDescent="0.35">
      <c r="A18">
        <v>14</v>
      </c>
      <c r="B18">
        <v>4.5999999999999999E-2</v>
      </c>
      <c r="C18">
        <f t="shared" si="0"/>
        <v>0</v>
      </c>
      <c r="D18">
        <v>7.2999999999999995E-2</v>
      </c>
      <c r="E18">
        <f t="shared" si="1"/>
        <v>58.695652173913039</v>
      </c>
      <c r="F18">
        <v>8.8999999999999996E-2</v>
      </c>
      <c r="G18">
        <f t="shared" si="2"/>
        <v>93.478260869565204</v>
      </c>
      <c r="H18" s="5">
        <v>0.13100000000000001</v>
      </c>
      <c r="I18">
        <f t="shared" si="3"/>
        <v>184.78260869565219</v>
      </c>
      <c r="J18" s="5">
        <v>0.13100000000000001</v>
      </c>
      <c r="K18">
        <f t="shared" si="4"/>
        <v>184.78260869565219</v>
      </c>
    </row>
    <row r="19" spans="1:11" x14ac:dyDescent="0.35">
      <c r="A19">
        <v>15</v>
      </c>
      <c r="B19">
        <v>3.6999999999999998E-2</v>
      </c>
      <c r="C19">
        <f t="shared" si="0"/>
        <v>0</v>
      </c>
      <c r="D19">
        <v>3.6999999999999998E-2</v>
      </c>
      <c r="E19">
        <f t="shared" si="1"/>
        <v>0</v>
      </c>
      <c r="F19">
        <v>3.6999999999999998E-2</v>
      </c>
      <c r="G19">
        <f t="shared" si="2"/>
        <v>0</v>
      </c>
      <c r="H19" s="5">
        <v>8.5000000000000006E-2</v>
      </c>
      <c r="I19">
        <f t="shared" si="3"/>
        <v>129.72972972972977</v>
      </c>
      <c r="J19" s="5">
        <v>8.5000000000000006E-2</v>
      </c>
      <c r="K19">
        <f t="shared" si="4"/>
        <v>129.72972972972977</v>
      </c>
    </row>
    <row r="20" spans="1:11" x14ac:dyDescent="0.35">
      <c r="A20">
        <v>16</v>
      </c>
      <c r="B20">
        <v>3.5999999999999997E-2</v>
      </c>
      <c r="C20">
        <f t="shared" si="0"/>
        <v>0</v>
      </c>
      <c r="D20">
        <v>7.0000000000000007E-2</v>
      </c>
      <c r="E20">
        <f t="shared" si="1"/>
        <v>94.444444444444471</v>
      </c>
      <c r="F20">
        <v>7.6999999999999999E-2</v>
      </c>
      <c r="G20">
        <f t="shared" si="2"/>
        <v>113.8888888888889</v>
      </c>
      <c r="H20" s="5">
        <v>9.4E-2</v>
      </c>
      <c r="I20">
        <f t="shared" si="3"/>
        <v>161.11111111111114</v>
      </c>
      <c r="J20" s="5">
        <v>9.4E-2</v>
      </c>
      <c r="K20">
        <f t="shared" si="4"/>
        <v>161.11111111111114</v>
      </c>
    </row>
    <row r="21" spans="1:11" x14ac:dyDescent="0.35">
      <c r="A21">
        <v>17</v>
      </c>
      <c r="B21">
        <v>0.05</v>
      </c>
      <c r="C21">
        <f t="shared" si="0"/>
        <v>0</v>
      </c>
      <c r="D21">
        <v>5.0999999999999997E-2</v>
      </c>
      <c r="E21">
        <f t="shared" si="1"/>
        <v>1.999999999999988</v>
      </c>
      <c r="F21">
        <v>5.0999999999999997E-2</v>
      </c>
      <c r="G21">
        <f t="shared" si="2"/>
        <v>1.999999999999988</v>
      </c>
      <c r="H21">
        <v>5.5E-2</v>
      </c>
      <c r="I21">
        <f t="shared" si="3"/>
        <v>9.9999999999999947</v>
      </c>
      <c r="J21" s="5">
        <v>0.124</v>
      </c>
      <c r="K21">
        <f t="shared" si="4"/>
        <v>147.99999999999997</v>
      </c>
    </row>
    <row r="22" spans="1:11" x14ac:dyDescent="0.35">
      <c r="A22">
        <v>18</v>
      </c>
      <c r="B22">
        <v>5.8999999999999997E-2</v>
      </c>
      <c r="C22">
        <f t="shared" si="0"/>
        <v>0</v>
      </c>
      <c r="D22">
        <v>5.8999999999999997E-2</v>
      </c>
      <c r="E22">
        <f t="shared" si="1"/>
        <v>0</v>
      </c>
      <c r="F22">
        <v>5.8999999999999997E-2</v>
      </c>
      <c r="G22">
        <f t="shared" si="2"/>
        <v>0</v>
      </c>
      <c r="H22">
        <v>6.9000000000000006E-2</v>
      </c>
      <c r="I22">
        <f t="shared" si="3"/>
        <v>16.949152542372897</v>
      </c>
      <c r="J22" s="5">
        <v>0.106</v>
      </c>
      <c r="K22">
        <f t="shared" si="4"/>
        <v>79.661016949152554</v>
      </c>
    </row>
    <row r="23" spans="1:11" x14ac:dyDescent="0.35">
      <c r="A23">
        <v>19</v>
      </c>
      <c r="B23">
        <v>3.3000000000000002E-2</v>
      </c>
      <c r="C23">
        <f t="shared" si="0"/>
        <v>0</v>
      </c>
      <c r="D23">
        <v>3.3000000000000002E-2</v>
      </c>
      <c r="E23">
        <f t="shared" si="1"/>
        <v>0</v>
      </c>
      <c r="F23">
        <v>3.3000000000000002E-2</v>
      </c>
      <c r="G23">
        <f t="shared" si="2"/>
        <v>0</v>
      </c>
      <c r="H23">
        <v>6.6000000000000003E-2</v>
      </c>
      <c r="I23">
        <f t="shared" si="3"/>
        <v>100</v>
      </c>
      <c r="J23" s="5">
        <v>0.124</v>
      </c>
      <c r="K23">
        <f t="shared" si="4"/>
        <v>275.75757575757575</v>
      </c>
    </row>
    <row r="24" spans="1:11" x14ac:dyDescent="0.35">
      <c r="A24">
        <v>20</v>
      </c>
      <c r="B24">
        <v>4.1000000000000002E-2</v>
      </c>
      <c r="C24">
        <f t="shared" si="0"/>
        <v>0</v>
      </c>
      <c r="D24">
        <v>4.1000000000000002E-2</v>
      </c>
      <c r="E24">
        <f t="shared" si="1"/>
        <v>0</v>
      </c>
      <c r="F24">
        <v>4.1000000000000002E-2</v>
      </c>
      <c r="G24">
        <f t="shared" si="2"/>
        <v>0</v>
      </c>
      <c r="H24">
        <v>7.9000000000000001E-2</v>
      </c>
      <c r="I24">
        <f>(H24-B24)/B24 *100</f>
        <v>92.682926829268283</v>
      </c>
      <c r="J24" s="5">
        <v>0.121</v>
      </c>
      <c r="K24">
        <f t="shared" si="4"/>
        <v>195.12195121951214</v>
      </c>
    </row>
    <row r="26" spans="1:11" x14ac:dyDescent="0.35">
      <c r="B26" t="s">
        <v>4</v>
      </c>
    </row>
    <row r="27" spans="1:11" x14ac:dyDescent="0.35">
      <c r="A27" t="s">
        <v>3</v>
      </c>
      <c r="B27" s="7">
        <v>45171</v>
      </c>
      <c r="C27" s="7"/>
      <c r="D27" s="8"/>
      <c r="E27" s="8"/>
      <c r="F27" s="8"/>
      <c r="G27" s="4"/>
      <c r="H27" s="2">
        <v>45201</v>
      </c>
      <c r="I27" s="2"/>
    </row>
    <row r="28" spans="1:11" x14ac:dyDescent="0.35">
      <c r="A28" t="s">
        <v>2</v>
      </c>
      <c r="B28" s="1">
        <v>0.36458333333333331</v>
      </c>
      <c r="C28" s="1"/>
      <c r="D28" s="1">
        <v>0.48958333333333331</v>
      </c>
      <c r="E28" s="1"/>
      <c r="F28" s="1">
        <v>0.61458333333333337</v>
      </c>
      <c r="G28" s="1"/>
      <c r="H28" s="1">
        <v>0.36458333333333331</v>
      </c>
      <c r="I28" s="1"/>
    </row>
    <row r="29" spans="1:11" x14ac:dyDescent="0.35">
      <c r="A29">
        <v>1</v>
      </c>
      <c r="B29">
        <v>5.8999999999999997E-2</v>
      </c>
      <c r="C29">
        <f>(B29-B29)/B29 *100</f>
        <v>0</v>
      </c>
      <c r="D29">
        <v>7.1999999999999995E-2</v>
      </c>
      <c r="E29">
        <f>(D29-B29)/B29 *100</f>
        <v>22.033898305084744</v>
      </c>
      <c r="F29">
        <v>9.8000000000000004E-2</v>
      </c>
      <c r="G29">
        <f>(F29-B29)/B29 *100</f>
        <v>66.101694915254257</v>
      </c>
      <c r="H29" s="5">
        <v>0.11700000000000001</v>
      </c>
      <c r="I29">
        <f>(H29-B29)/B29 *100</f>
        <v>98.305084745762741</v>
      </c>
    </row>
    <row r="30" spans="1:11" x14ac:dyDescent="0.35">
      <c r="A30">
        <v>2</v>
      </c>
      <c r="B30">
        <v>4.2999999999999997E-2</v>
      </c>
      <c r="C30">
        <f t="shared" ref="C30" si="5">(B30-B30)/B30 *100</f>
        <v>0</v>
      </c>
      <c r="D30">
        <v>0.05</v>
      </c>
      <c r="E30">
        <f t="shared" ref="E30:E48" si="6">(D30-B30)/B30 *100</f>
        <v>16.279069767441875</v>
      </c>
      <c r="F30">
        <v>0.115</v>
      </c>
      <c r="G30">
        <f t="shared" ref="G30:G48" si="7">(F30-B30)/B30 *100</f>
        <v>167.44186046511632</v>
      </c>
      <c r="H30" s="5">
        <v>0.14599999999999999</v>
      </c>
      <c r="I30">
        <f t="shared" ref="I30:I47" si="8">(H30-B30)/B30 *100</f>
        <v>239.53488372093025</v>
      </c>
    </row>
    <row r="31" spans="1:11" x14ac:dyDescent="0.35">
      <c r="A31">
        <v>3</v>
      </c>
      <c r="B31">
        <v>3.6999999999999998E-2</v>
      </c>
      <c r="C31">
        <f t="shared" ref="C31" si="9">(B31-B31)/B31 *100</f>
        <v>0</v>
      </c>
      <c r="D31">
        <v>4.9000000000000002E-2</v>
      </c>
      <c r="E31">
        <f t="shared" si="6"/>
        <v>32.432432432432442</v>
      </c>
      <c r="F31">
        <v>8.2000000000000003E-2</v>
      </c>
      <c r="G31">
        <f t="shared" si="7"/>
        <v>121.62162162162164</v>
      </c>
      <c r="H31" s="5">
        <v>9.9000000000000005E-2</v>
      </c>
      <c r="I31">
        <f t="shared" si="8"/>
        <v>167.56756756756758</v>
      </c>
    </row>
    <row r="32" spans="1:11" x14ac:dyDescent="0.35">
      <c r="A32">
        <v>4</v>
      </c>
      <c r="B32">
        <v>3.5999999999999997E-2</v>
      </c>
      <c r="C32">
        <f t="shared" ref="C32" si="10">(B32-B32)/B32 *100</f>
        <v>0</v>
      </c>
      <c r="D32">
        <v>4.5999999999999999E-2</v>
      </c>
      <c r="E32">
        <f t="shared" si="6"/>
        <v>27.777777777777786</v>
      </c>
      <c r="F32">
        <v>7.1999999999999995E-2</v>
      </c>
      <c r="G32">
        <f t="shared" si="7"/>
        <v>100</v>
      </c>
      <c r="H32" s="5">
        <v>7.9000000000000001E-2</v>
      </c>
      <c r="I32">
        <f t="shared" si="8"/>
        <v>119.44444444444446</v>
      </c>
    </row>
    <row r="33" spans="1:9" x14ac:dyDescent="0.35">
      <c r="A33">
        <v>5</v>
      </c>
      <c r="B33">
        <v>3.6999999999999998E-2</v>
      </c>
      <c r="C33">
        <f t="shared" ref="C33" si="11">(B33-B33)/B33 *100</f>
        <v>0</v>
      </c>
      <c r="D33">
        <v>4.8000000000000001E-2</v>
      </c>
      <c r="E33">
        <f t="shared" si="6"/>
        <v>29.729729729729737</v>
      </c>
      <c r="F33">
        <v>7.1999999999999995E-2</v>
      </c>
      <c r="G33">
        <f t="shared" si="7"/>
        <v>94.594594594594597</v>
      </c>
      <c r="H33" s="5">
        <v>8.3000000000000004E-2</v>
      </c>
      <c r="I33">
        <f t="shared" si="8"/>
        <v>124.32432432432434</v>
      </c>
    </row>
    <row r="34" spans="1:9" x14ac:dyDescent="0.35">
      <c r="A34">
        <v>6</v>
      </c>
      <c r="B34">
        <v>5.1999999999999998E-2</v>
      </c>
      <c r="C34">
        <f t="shared" ref="C34" si="12">(B34-B34)/B34 *100</f>
        <v>0</v>
      </c>
      <c r="D34">
        <v>6.4000000000000001E-2</v>
      </c>
      <c r="E34">
        <f t="shared" si="6"/>
        <v>23.076923076923084</v>
      </c>
      <c r="F34">
        <v>7.2999999999999995E-2</v>
      </c>
      <c r="G34">
        <f t="shared" si="7"/>
        <v>40.38461538461538</v>
      </c>
      <c r="H34" s="5">
        <v>8.5999999999999993E-2</v>
      </c>
      <c r="I34">
        <f t="shared" si="8"/>
        <v>65.384615384615373</v>
      </c>
    </row>
    <row r="35" spans="1:9" x14ac:dyDescent="0.35">
      <c r="A35">
        <v>7</v>
      </c>
      <c r="B35">
        <v>4.3999999999999997E-2</v>
      </c>
      <c r="C35">
        <f t="shared" ref="C35" si="13">(B35-B35)/B35 *100</f>
        <v>0</v>
      </c>
      <c r="D35">
        <v>5.7000000000000002E-2</v>
      </c>
      <c r="E35">
        <f t="shared" si="6"/>
        <v>29.545454545454557</v>
      </c>
      <c r="F35">
        <v>0.09</v>
      </c>
      <c r="G35">
        <f t="shared" si="7"/>
        <v>104.54545454545455</v>
      </c>
      <c r="H35" s="5">
        <v>0.11799999999999999</v>
      </c>
      <c r="I35">
        <f t="shared" si="8"/>
        <v>168.18181818181819</v>
      </c>
    </row>
    <row r="36" spans="1:9" x14ac:dyDescent="0.35">
      <c r="A36">
        <v>8</v>
      </c>
      <c r="B36">
        <v>3.2000000000000001E-2</v>
      </c>
      <c r="C36">
        <f t="shared" ref="C36" si="14">(B36-B36)/B36 *100</f>
        <v>0</v>
      </c>
      <c r="D36">
        <v>4.8000000000000001E-2</v>
      </c>
      <c r="E36">
        <f t="shared" si="6"/>
        <v>50</v>
      </c>
      <c r="F36">
        <v>9.0999999999999998E-2</v>
      </c>
      <c r="G36">
        <f t="shared" si="7"/>
        <v>184.37499999999997</v>
      </c>
      <c r="H36" s="5">
        <v>0.11799999999999999</v>
      </c>
      <c r="I36">
        <f t="shared" si="8"/>
        <v>268.74999999999994</v>
      </c>
    </row>
    <row r="37" spans="1:9" x14ac:dyDescent="0.35">
      <c r="A37">
        <v>9</v>
      </c>
      <c r="B37">
        <v>3.1E-2</v>
      </c>
      <c r="C37">
        <f t="shared" ref="C37" si="15">(B37-B37)/B37 *100</f>
        <v>0</v>
      </c>
      <c r="D37">
        <v>4.2999999999999997E-2</v>
      </c>
      <c r="E37">
        <f t="shared" si="6"/>
        <v>38.709677419354826</v>
      </c>
      <c r="F37">
        <v>6.2E-2</v>
      </c>
      <c r="G37">
        <f t="shared" si="7"/>
        <v>100</v>
      </c>
      <c r="H37" s="5">
        <v>7.6999999999999999E-2</v>
      </c>
      <c r="I37">
        <f t="shared" si="8"/>
        <v>148.38709677419354</v>
      </c>
    </row>
    <row r="38" spans="1:9" x14ac:dyDescent="0.35">
      <c r="A38">
        <v>10</v>
      </c>
      <c r="B38">
        <v>3.4000000000000002E-2</v>
      </c>
      <c r="C38">
        <f t="shared" ref="C38" si="16">(B38-B38)/B38 *100</f>
        <v>0</v>
      </c>
      <c r="D38">
        <v>6.0999999999999999E-2</v>
      </c>
      <c r="E38">
        <f t="shared" si="6"/>
        <v>79.411764705882334</v>
      </c>
      <c r="F38">
        <v>6.8000000000000005E-2</v>
      </c>
      <c r="G38">
        <f t="shared" si="7"/>
        <v>100</v>
      </c>
      <c r="H38" s="5">
        <v>8.3000000000000004E-2</v>
      </c>
      <c r="I38">
        <f t="shared" si="8"/>
        <v>144.11764705882354</v>
      </c>
    </row>
    <row r="39" spans="1:9" x14ac:dyDescent="0.35">
      <c r="A39">
        <v>11</v>
      </c>
      <c r="B39">
        <v>3.7999999999999999E-2</v>
      </c>
      <c r="C39">
        <f t="shared" ref="C39" si="17">(B39-B39)/B39 *100</f>
        <v>0</v>
      </c>
      <c r="D39">
        <v>6.3E-2</v>
      </c>
      <c r="E39">
        <f t="shared" si="6"/>
        <v>65.789473684210535</v>
      </c>
      <c r="F39">
        <v>6.3E-2</v>
      </c>
      <c r="G39">
        <f t="shared" si="7"/>
        <v>65.789473684210535</v>
      </c>
      <c r="H39" s="5">
        <v>7.3999999999999996E-2</v>
      </c>
      <c r="I39">
        <f t="shared" si="8"/>
        <v>94.73684210526315</v>
      </c>
    </row>
    <row r="40" spans="1:9" x14ac:dyDescent="0.35">
      <c r="A40">
        <v>12</v>
      </c>
      <c r="B40">
        <v>4.8000000000000001E-2</v>
      </c>
      <c r="C40">
        <f t="shared" ref="C40" si="18">(B40-B40)/B40 *100</f>
        <v>0</v>
      </c>
      <c r="D40">
        <v>0.06</v>
      </c>
      <c r="E40">
        <f t="shared" si="6"/>
        <v>24.999999999999993</v>
      </c>
      <c r="F40">
        <v>7.4999999999999997E-2</v>
      </c>
      <c r="G40">
        <f t="shared" si="7"/>
        <v>56.249999999999986</v>
      </c>
      <c r="H40" s="5">
        <v>8.7999999999999995E-2</v>
      </c>
      <c r="I40">
        <f t="shared" si="8"/>
        <v>83.333333333333314</v>
      </c>
    </row>
    <row r="41" spans="1:9" x14ac:dyDescent="0.35">
      <c r="A41">
        <v>13</v>
      </c>
      <c r="B41">
        <v>4.9000000000000002E-2</v>
      </c>
      <c r="C41">
        <f t="shared" ref="C41" si="19">(B41-B41)/B41 *100</f>
        <v>0</v>
      </c>
      <c r="D41">
        <v>5.8999999999999997E-2</v>
      </c>
      <c r="E41">
        <f t="shared" si="6"/>
        <v>20.408163265306111</v>
      </c>
      <c r="F41">
        <v>9.1999999999999998E-2</v>
      </c>
      <c r="G41">
        <f t="shared" si="7"/>
        <v>87.755102040816311</v>
      </c>
      <c r="H41" s="5">
        <v>0.10299999999999999</v>
      </c>
      <c r="I41">
        <f t="shared" si="8"/>
        <v>110.20408163265304</v>
      </c>
    </row>
    <row r="42" spans="1:9" x14ac:dyDescent="0.35">
      <c r="A42">
        <v>14</v>
      </c>
      <c r="B42">
        <v>4.5999999999999999E-2</v>
      </c>
      <c r="C42">
        <f t="shared" ref="C42" si="20">(B42-B42)/B42 *100</f>
        <v>0</v>
      </c>
      <c r="D42">
        <v>0.05</v>
      </c>
      <c r="E42">
        <f t="shared" si="6"/>
        <v>8.6956521739130519</v>
      </c>
      <c r="F42">
        <v>9.2999999999999999E-2</v>
      </c>
      <c r="G42">
        <f t="shared" si="7"/>
        <v>102.17391304347827</v>
      </c>
      <c r="H42" s="5">
        <v>0.122</v>
      </c>
      <c r="I42">
        <f t="shared" si="8"/>
        <v>165.21739130434781</v>
      </c>
    </row>
    <row r="43" spans="1:9" x14ac:dyDescent="0.35">
      <c r="A43">
        <v>15</v>
      </c>
      <c r="B43">
        <v>4.3999999999999997E-2</v>
      </c>
      <c r="C43">
        <f t="shared" ref="C43" si="21">(B43-B43)/B43 *100</f>
        <v>0</v>
      </c>
      <c r="D43">
        <v>6.2E-2</v>
      </c>
      <c r="E43">
        <f t="shared" si="6"/>
        <v>40.909090909090921</v>
      </c>
      <c r="F43">
        <v>7.8E-2</v>
      </c>
      <c r="G43">
        <f t="shared" si="7"/>
        <v>77.27272727272728</v>
      </c>
      <c r="H43" s="5">
        <v>9.4E-2</v>
      </c>
      <c r="I43">
        <f t="shared" si="8"/>
        <v>113.63636363636364</v>
      </c>
    </row>
    <row r="44" spans="1:9" x14ac:dyDescent="0.35">
      <c r="A44">
        <v>16</v>
      </c>
      <c r="B44">
        <v>3.4000000000000002E-2</v>
      </c>
      <c r="C44">
        <f t="shared" ref="C44" si="22">(B44-B44)/B44 *100</f>
        <v>0</v>
      </c>
      <c r="D44">
        <v>5.6000000000000001E-2</v>
      </c>
      <c r="E44">
        <f t="shared" si="6"/>
        <v>64.705882352941174</v>
      </c>
      <c r="F44">
        <v>0.09</v>
      </c>
      <c r="G44">
        <f t="shared" si="7"/>
        <v>164.70588235294116</v>
      </c>
      <c r="H44" s="5">
        <v>9.5000000000000001E-2</v>
      </c>
      <c r="I44">
        <f t="shared" si="8"/>
        <v>179.41176470588235</v>
      </c>
    </row>
    <row r="45" spans="1:9" x14ac:dyDescent="0.35">
      <c r="A45">
        <v>17</v>
      </c>
      <c r="B45">
        <v>4.3999999999999997E-2</v>
      </c>
      <c r="C45">
        <f t="shared" ref="C45" si="23">(B45-B45)/B45 *100</f>
        <v>0</v>
      </c>
      <c r="D45">
        <v>5.6000000000000001E-2</v>
      </c>
      <c r="E45">
        <f t="shared" si="6"/>
        <v>27.27272727272728</v>
      </c>
      <c r="F45">
        <v>8.5999999999999993E-2</v>
      </c>
      <c r="G45">
        <f t="shared" si="7"/>
        <v>95.454545454545453</v>
      </c>
      <c r="H45" s="5">
        <v>0.108</v>
      </c>
      <c r="I45">
        <f t="shared" si="8"/>
        <v>145.45454545454547</v>
      </c>
    </row>
    <row r="46" spans="1:9" x14ac:dyDescent="0.35">
      <c r="A46">
        <v>18</v>
      </c>
      <c r="B46">
        <v>3.4000000000000002E-2</v>
      </c>
      <c r="C46">
        <f t="shared" ref="C46" si="24">(B46-B46)/B46 *100</f>
        <v>0</v>
      </c>
      <c r="D46">
        <v>4.3999999999999997E-2</v>
      </c>
      <c r="E46">
        <f t="shared" si="6"/>
        <v>29.411764705882337</v>
      </c>
      <c r="F46">
        <v>8.6999999999999994E-2</v>
      </c>
      <c r="G46">
        <f t="shared" si="7"/>
        <v>155.88235294117644</v>
      </c>
      <c r="H46" s="5">
        <v>0.108</v>
      </c>
      <c r="I46">
        <f t="shared" si="8"/>
        <v>217.64705882352939</v>
      </c>
    </row>
    <row r="47" spans="1:9" x14ac:dyDescent="0.35">
      <c r="A47">
        <v>19</v>
      </c>
      <c r="B47">
        <v>4.3999999999999997E-2</v>
      </c>
      <c r="C47">
        <f t="shared" ref="C47" si="25">(B47-B47)/B47 *100</f>
        <v>0</v>
      </c>
      <c r="D47">
        <v>5.2999999999999999E-2</v>
      </c>
      <c r="E47">
        <f t="shared" si="6"/>
        <v>20.45454545454546</v>
      </c>
      <c r="F47">
        <v>6.8000000000000005E-2</v>
      </c>
      <c r="G47">
        <f t="shared" si="7"/>
        <v>54.545454545454561</v>
      </c>
      <c r="H47" s="5">
        <v>7.3999999999999996E-2</v>
      </c>
      <c r="I47">
        <f t="shared" si="8"/>
        <v>68.181818181818187</v>
      </c>
    </row>
    <row r="48" spans="1:9" x14ac:dyDescent="0.35">
      <c r="A48">
        <v>20</v>
      </c>
      <c r="B48">
        <v>4.9000000000000002E-2</v>
      </c>
      <c r="C48">
        <f t="shared" ref="C48" si="26">(B48-B48)/B48 *100</f>
        <v>0</v>
      </c>
      <c r="D48">
        <v>6.0999999999999999E-2</v>
      </c>
      <c r="E48">
        <f t="shared" si="6"/>
        <v>24.489795918367339</v>
      </c>
      <c r="F48">
        <v>8.4000000000000005E-2</v>
      </c>
      <c r="G48">
        <f t="shared" si="7"/>
        <v>71.428571428571431</v>
      </c>
      <c r="H48" s="5">
        <v>0.10199999999999999</v>
      </c>
      <c r="I48">
        <f>(H48-B48)/B48 *100</f>
        <v>108.16326530612244</v>
      </c>
    </row>
  </sheetData>
  <mergeCells count="2">
    <mergeCell ref="B3:F3"/>
    <mergeCell ref="B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E7A0-F447-41D9-AF66-537937566AA5}">
  <dimension ref="A1:P53"/>
  <sheetViews>
    <sheetView tabSelected="1" topLeftCell="R8" workbookViewId="0">
      <selection activeCell="AK6" sqref="AK6:AM9"/>
    </sheetView>
  </sheetViews>
  <sheetFormatPr defaultRowHeight="14.5" x14ac:dyDescent="0.35"/>
  <sheetData>
    <row r="1" spans="1:16" x14ac:dyDescent="0.35">
      <c r="A1" t="s">
        <v>0</v>
      </c>
    </row>
    <row r="2" spans="1:16" x14ac:dyDescent="0.35">
      <c r="A2" t="s">
        <v>3</v>
      </c>
    </row>
    <row r="4" spans="1:16" x14ac:dyDescent="0.35">
      <c r="B4">
        <v>0</v>
      </c>
      <c r="C4">
        <v>3</v>
      </c>
      <c r="D4">
        <v>6</v>
      </c>
      <c r="E4">
        <v>24</v>
      </c>
      <c r="F4">
        <v>72</v>
      </c>
    </row>
    <row r="5" spans="1:16" x14ac:dyDescent="0.35">
      <c r="A5">
        <v>1</v>
      </c>
      <c r="B5">
        <v>0</v>
      </c>
      <c r="C5">
        <v>25.490196078431381</v>
      </c>
      <c r="D5">
        <v>86.274509803921589</v>
      </c>
      <c r="E5">
        <v>139.21568627450981</v>
      </c>
    </row>
    <row r="6" spans="1:16" x14ac:dyDescent="0.35">
      <c r="A6">
        <v>2</v>
      </c>
      <c r="B6">
        <v>0</v>
      </c>
      <c r="C6">
        <v>12.499999999999989</v>
      </c>
      <c r="D6">
        <v>12.499999999999989</v>
      </c>
      <c r="E6">
        <v>134.37499999999997</v>
      </c>
    </row>
    <row r="7" spans="1:16" x14ac:dyDescent="0.35">
      <c r="A7">
        <v>3</v>
      </c>
      <c r="B7">
        <v>0</v>
      </c>
      <c r="C7">
        <v>6.2500000000000053</v>
      </c>
      <c r="D7">
        <v>15.624999999999991</v>
      </c>
      <c r="E7">
        <v>174.99999999999997</v>
      </c>
    </row>
    <row r="8" spans="1:16" x14ac:dyDescent="0.35">
      <c r="A8">
        <v>4</v>
      </c>
      <c r="B8">
        <v>0</v>
      </c>
      <c r="C8">
        <v>0</v>
      </c>
      <c r="D8">
        <v>0</v>
      </c>
      <c r="E8">
        <v>2.2222222222222245</v>
      </c>
      <c r="F8">
        <v>188.88888888888891</v>
      </c>
    </row>
    <row r="9" spans="1:16" x14ac:dyDescent="0.35">
      <c r="A9">
        <v>5</v>
      </c>
      <c r="B9">
        <v>0</v>
      </c>
      <c r="C9">
        <v>0</v>
      </c>
      <c r="D9">
        <v>0</v>
      </c>
      <c r="E9">
        <v>89.999999999999986</v>
      </c>
      <c r="F9">
        <v>219.99999999999997</v>
      </c>
    </row>
    <row r="10" spans="1:16" x14ac:dyDescent="0.35">
      <c r="A10">
        <v>6</v>
      </c>
      <c r="B10">
        <v>0</v>
      </c>
      <c r="C10">
        <v>2.7027027027027053</v>
      </c>
      <c r="D10">
        <v>2.7027027027027053</v>
      </c>
      <c r="E10">
        <v>118.91891891891895</v>
      </c>
    </row>
    <row r="11" spans="1:16" x14ac:dyDescent="0.35">
      <c r="A11">
        <v>7</v>
      </c>
      <c r="B11">
        <v>0</v>
      </c>
      <c r="C11">
        <v>70.588235294117652</v>
      </c>
      <c r="D11">
        <v>103.92156862745099</v>
      </c>
      <c r="E11">
        <v>141.17647058823533</v>
      </c>
    </row>
    <row r="12" spans="1:16" x14ac:dyDescent="0.35">
      <c r="A12">
        <v>8</v>
      </c>
      <c r="B12">
        <v>0</v>
      </c>
      <c r="C12">
        <v>0</v>
      </c>
      <c r="D12">
        <v>0</v>
      </c>
      <c r="E12">
        <v>1.7543859649122824</v>
      </c>
      <c r="F12">
        <v>124.56140350877195</v>
      </c>
    </row>
    <row r="13" spans="1:16" x14ac:dyDescent="0.35">
      <c r="A13">
        <v>9</v>
      </c>
      <c r="B13">
        <v>0</v>
      </c>
      <c r="C13">
        <v>-4.7619047619047654</v>
      </c>
      <c r="D13">
        <v>-4.7619047619047654</v>
      </c>
      <c r="E13">
        <v>16.666666666666664</v>
      </c>
      <c r="F13">
        <v>192.8571428571428</v>
      </c>
    </row>
    <row r="14" spans="1:16" x14ac:dyDescent="0.35">
      <c r="A14">
        <v>10</v>
      </c>
      <c r="B14">
        <v>0</v>
      </c>
      <c r="C14">
        <v>0</v>
      </c>
      <c r="D14">
        <v>0</v>
      </c>
      <c r="E14">
        <v>102.17391304347827</v>
      </c>
    </row>
    <row r="15" spans="1:16" x14ac:dyDescent="0.35">
      <c r="A15">
        <v>11</v>
      </c>
      <c r="B15">
        <v>0</v>
      </c>
      <c r="C15">
        <v>0</v>
      </c>
      <c r="D15">
        <v>0</v>
      </c>
      <c r="E15">
        <v>94.871794871794862</v>
      </c>
      <c r="F15">
        <v>225.64102564102564</v>
      </c>
      <c r="L15">
        <v>0</v>
      </c>
      <c r="M15">
        <v>3</v>
      </c>
      <c r="N15">
        <v>6</v>
      </c>
      <c r="O15">
        <v>24</v>
      </c>
      <c r="P15">
        <v>72</v>
      </c>
    </row>
    <row r="16" spans="1:16" x14ac:dyDescent="0.35">
      <c r="A16">
        <v>12</v>
      </c>
      <c r="B16">
        <v>0</v>
      </c>
      <c r="C16">
        <v>0</v>
      </c>
      <c r="D16">
        <v>0</v>
      </c>
      <c r="E16">
        <v>111.7647058823529</v>
      </c>
      <c r="K16" t="s">
        <v>1</v>
      </c>
      <c r="L16">
        <v>0</v>
      </c>
      <c r="M16">
        <v>12.900444091985927</v>
      </c>
      <c r="N16">
        <v>20.553763149077362</v>
      </c>
      <c r="O16">
        <v>91.955655368046706</v>
      </c>
      <c r="P16">
        <v>156.08952410518643</v>
      </c>
    </row>
    <row r="17" spans="1:16" x14ac:dyDescent="0.35">
      <c r="A17">
        <v>13</v>
      </c>
      <c r="B17">
        <v>0</v>
      </c>
      <c r="C17">
        <v>0</v>
      </c>
      <c r="D17">
        <v>0</v>
      </c>
      <c r="E17">
        <v>83.673469387755091</v>
      </c>
      <c r="F17">
        <v>157.14285714285714</v>
      </c>
      <c r="K17" t="s">
        <v>4</v>
      </c>
      <c r="L17">
        <v>0</v>
      </c>
      <c r="M17">
        <v>32.339705880812645</v>
      </c>
      <c r="N17">
        <v>96.015374490027526</v>
      </c>
      <c r="O17">
        <v>135.90399746125422</v>
      </c>
    </row>
    <row r="18" spans="1:16" x14ac:dyDescent="0.35">
      <c r="A18">
        <v>14</v>
      </c>
      <c r="B18">
        <v>0</v>
      </c>
      <c r="C18">
        <v>58.695652173913039</v>
      </c>
      <c r="D18">
        <v>93.478260869565204</v>
      </c>
      <c r="E18">
        <v>184.78260869565219</v>
      </c>
    </row>
    <row r="19" spans="1:16" x14ac:dyDescent="0.35">
      <c r="A19">
        <v>15</v>
      </c>
      <c r="B19">
        <v>0</v>
      </c>
      <c r="C19">
        <v>0</v>
      </c>
      <c r="D19">
        <v>0</v>
      </c>
      <c r="E19">
        <v>129.72972972972977</v>
      </c>
    </row>
    <row r="20" spans="1:16" x14ac:dyDescent="0.35">
      <c r="A20">
        <v>16</v>
      </c>
      <c r="B20">
        <v>0</v>
      </c>
      <c r="C20">
        <v>94.444444444444471</v>
      </c>
      <c r="D20">
        <v>113.8888888888889</v>
      </c>
      <c r="E20">
        <v>161.11111111111114</v>
      </c>
    </row>
    <row r="21" spans="1:16" x14ac:dyDescent="0.35">
      <c r="A21">
        <v>17</v>
      </c>
      <c r="B21">
        <v>0</v>
      </c>
      <c r="C21">
        <v>1.999999999999988</v>
      </c>
      <c r="D21">
        <v>1.999999999999988</v>
      </c>
      <c r="E21">
        <v>9.9999999999999947</v>
      </c>
      <c r="F21">
        <v>147.99999999999997</v>
      </c>
    </row>
    <row r="22" spans="1:16" x14ac:dyDescent="0.35">
      <c r="A22">
        <v>18</v>
      </c>
      <c r="B22">
        <v>0</v>
      </c>
      <c r="C22">
        <v>0</v>
      </c>
      <c r="D22">
        <v>0</v>
      </c>
      <c r="E22">
        <v>16.949152542372897</v>
      </c>
      <c r="F22">
        <v>79.661016949152554</v>
      </c>
    </row>
    <row r="23" spans="1:16" x14ac:dyDescent="0.35">
      <c r="A23">
        <v>19</v>
      </c>
      <c r="B23">
        <v>0</v>
      </c>
      <c r="C23">
        <v>0</v>
      </c>
      <c r="D23">
        <v>0</v>
      </c>
      <c r="E23">
        <v>100</v>
      </c>
      <c r="F23">
        <v>275.75757575757575</v>
      </c>
    </row>
    <row r="24" spans="1:16" x14ac:dyDescent="0.35">
      <c r="A24">
        <v>20</v>
      </c>
      <c r="B24">
        <v>0</v>
      </c>
      <c r="C24">
        <v>0</v>
      </c>
      <c r="D24">
        <v>0</v>
      </c>
      <c r="E24">
        <v>92.682926829268283</v>
      </c>
      <c r="F24">
        <v>195.12195121951214</v>
      </c>
      <c r="L24">
        <v>0</v>
      </c>
      <c r="M24">
        <v>12.164765000533585</v>
      </c>
      <c r="N24">
        <v>17.796397618612342</v>
      </c>
      <c r="O24">
        <v>25.340105362844337</v>
      </c>
      <c r="P24">
        <v>20.819252804450503</v>
      </c>
    </row>
    <row r="25" spans="1:16" x14ac:dyDescent="0.35">
      <c r="B25">
        <f>AVERAGE(B4:B24)</f>
        <v>0</v>
      </c>
      <c r="C25">
        <f t="shared" ref="C25:F25" si="0">AVERAGE(C4:C24)</f>
        <v>12.900444091985927</v>
      </c>
      <c r="D25">
        <f t="shared" si="0"/>
        <v>20.553763149077362</v>
      </c>
      <c r="E25">
        <f t="shared" si="0"/>
        <v>91.955655368046706</v>
      </c>
      <c r="F25">
        <f t="shared" si="0"/>
        <v>170.87562381499336</v>
      </c>
      <c r="L25">
        <v>0</v>
      </c>
      <c r="M25">
        <v>7.9443225825987973</v>
      </c>
      <c r="N25">
        <v>17.660358291585673</v>
      </c>
      <c r="O25">
        <v>24.071577970327599</v>
      </c>
    </row>
    <row r="26" spans="1:16" x14ac:dyDescent="0.35">
      <c r="B26">
        <f>_xlfn.STDEV.S(B5:B24)</f>
        <v>0</v>
      </c>
      <c r="C26">
        <f t="shared" ref="C26:F26" si="1">_xlfn.STDEV.S(C5:C24)</f>
        <v>27.756368848472817</v>
      </c>
      <c r="D26">
        <f t="shared" si="1"/>
        <v>40.606076356972011</v>
      </c>
      <c r="E26">
        <f t="shared" si="1"/>
        <v>57.818569539109099</v>
      </c>
      <c r="F26">
        <f t="shared" si="1"/>
        <v>55.784886804211304</v>
      </c>
    </row>
    <row r="27" spans="1:16" x14ac:dyDescent="0.35">
      <c r="B27">
        <f>B26/SQRT(20) *1.96</f>
        <v>0</v>
      </c>
      <c r="C27">
        <f t="shared" ref="C27:F27" si="2">C26/SQRT(20) *1.96</f>
        <v>12.164765000533585</v>
      </c>
      <c r="D27">
        <f t="shared" si="2"/>
        <v>17.796397618612342</v>
      </c>
      <c r="E27">
        <f t="shared" si="2"/>
        <v>25.340105362844337</v>
      </c>
      <c r="F27">
        <f t="shared" si="2"/>
        <v>24.448804606224105</v>
      </c>
    </row>
    <row r="29" spans="1:16" x14ac:dyDescent="0.35">
      <c r="A29" t="s">
        <v>3</v>
      </c>
    </row>
    <row r="30" spans="1:16" x14ac:dyDescent="0.35">
      <c r="A30" t="s">
        <v>2</v>
      </c>
      <c r="B30">
        <v>0</v>
      </c>
      <c r="C30">
        <v>3</v>
      </c>
      <c r="D30">
        <v>6</v>
      </c>
      <c r="E30">
        <v>24</v>
      </c>
    </row>
    <row r="31" spans="1:16" x14ac:dyDescent="0.35">
      <c r="A31">
        <v>1</v>
      </c>
      <c r="B31">
        <v>0</v>
      </c>
      <c r="C31">
        <v>22.033898305084744</v>
      </c>
      <c r="D31">
        <v>66.101694915254257</v>
      </c>
      <c r="E31">
        <v>98.305084745762741</v>
      </c>
    </row>
    <row r="32" spans="1:16" x14ac:dyDescent="0.35">
      <c r="A32">
        <v>2</v>
      </c>
      <c r="B32">
        <v>0</v>
      </c>
      <c r="C32">
        <v>16.279069767441875</v>
      </c>
      <c r="D32">
        <v>167.44186046511632</v>
      </c>
      <c r="E32">
        <v>239.53488372093025</v>
      </c>
    </row>
    <row r="33" spans="1:5" x14ac:dyDescent="0.35">
      <c r="A33">
        <v>3</v>
      </c>
      <c r="B33">
        <v>0</v>
      </c>
      <c r="C33">
        <v>32.432432432432442</v>
      </c>
      <c r="D33">
        <v>121.62162162162164</v>
      </c>
      <c r="E33">
        <v>167.56756756756758</v>
      </c>
    </row>
    <row r="34" spans="1:5" x14ac:dyDescent="0.35">
      <c r="A34">
        <v>4</v>
      </c>
      <c r="B34">
        <v>0</v>
      </c>
      <c r="C34">
        <v>27.777777777777786</v>
      </c>
      <c r="D34">
        <v>100</v>
      </c>
      <c r="E34">
        <v>119.44444444444446</v>
      </c>
    </row>
    <row r="35" spans="1:5" x14ac:dyDescent="0.35">
      <c r="A35">
        <v>5</v>
      </c>
      <c r="B35">
        <v>0</v>
      </c>
      <c r="C35">
        <v>29.729729729729737</v>
      </c>
      <c r="D35">
        <v>94.594594594594597</v>
      </c>
      <c r="E35">
        <v>124.32432432432434</v>
      </c>
    </row>
    <row r="36" spans="1:5" x14ac:dyDescent="0.35">
      <c r="A36">
        <v>6</v>
      </c>
      <c r="B36">
        <v>0</v>
      </c>
      <c r="C36">
        <v>23.076923076923084</v>
      </c>
      <c r="D36">
        <v>40.38461538461538</v>
      </c>
      <c r="E36">
        <v>65.384615384615373</v>
      </c>
    </row>
    <row r="37" spans="1:5" x14ac:dyDescent="0.35">
      <c r="A37">
        <v>7</v>
      </c>
      <c r="B37">
        <v>0</v>
      </c>
      <c r="C37">
        <v>29.545454545454557</v>
      </c>
      <c r="D37">
        <v>104.54545454545455</v>
      </c>
      <c r="E37">
        <v>168.18181818181819</v>
      </c>
    </row>
    <row r="38" spans="1:5" x14ac:dyDescent="0.35">
      <c r="A38">
        <v>8</v>
      </c>
      <c r="B38">
        <v>0</v>
      </c>
      <c r="C38">
        <v>50</v>
      </c>
      <c r="D38">
        <v>184.37499999999997</v>
      </c>
      <c r="E38">
        <v>268.74999999999994</v>
      </c>
    </row>
    <row r="39" spans="1:5" x14ac:dyDescent="0.35">
      <c r="A39">
        <v>9</v>
      </c>
      <c r="B39">
        <v>0</v>
      </c>
      <c r="C39">
        <v>38.709677419354826</v>
      </c>
      <c r="D39">
        <v>100</v>
      </c>
      <c r="E39">
        <v>148.38709677419354</v>
      </c>
    </row>
    <row r="40" spans="1:5" x14ac:dyDescent="0.35">
      <c r="A40">
        <v>10</v>
      </c>
      <c r="B40">
        <v>0</v>
      </c>
      <c r="C40">
        <v>79.411764705882334</v>
      </c>
      <c r="D40">
        <v>100</v>
      </c>
      <c r="E40">
        <v>144.11764705882354</v>
      </c>
    </row>
    <row r="41" spans="1:5" x14ac:dyDescent="0.35">
      <c r="A41">
        <v>11</v>
      </c>
      <c r="B41">
        <v>0</v>
      </c>
      <c r="C41">
        <v>65.789473684210535</v>
      </c>
      <c r="D41">
        <v>65.789473684210535</v>
      </c>
      <c r="E41">
        <v>94.73684210526315</v>
      </c>
    </row>
    <row r="42" spans="1:5" x14ac:dyDescent="0.35">
      <c r="A42">
        <v>12</v>
      </c>
      <c r="B42">
        <v>0</v>
      </c>
      <c r="C42">
        <v>24.999999999999993</v>
      </c>
      <c r="D42">
        <v>56.249999999999986</v>
      </c>
      <c r="E42">
        <v>83.333333333333314</v>
      </c>
    </row>
    <row r="43" spans="1:5" x14ac:dyDescent="0.35">
      <c r="A43">
        <v>13</v>
      </c>
      <c r="B43">
        <v>0</v>
      </c>
      <c r="C43">
        <v>20.408163265306111</v>
      </c>
      <c r="D43">
        <v>87.755102040816311</v>
      </c>
      <c r="E43">
        <v>110.20408163265304</v>
      </c>
    </row>
    <row r="44" spans="1:5" x14ac:dyDescent="0.35">
      <c r="A44">
        <v>14</v>
      </c>
      <c r="B44">
        <v>0</v>
      </c>
      <c r="C44">
        <v>8.6956521739130519</v>
      </c>
      <c r="D44">
        <v>102.17391304347827</v>
      </c>
      <c r="E44">
        <v>165.21739130434781</v>
      </c>
    </row>
    <row r="45" spans="1:5" x14ac:dyDescent="0.35">
      <c r="A45">
        <v>15</v>
      </c>
      <c r="B45">
        <v>0</v>
      </c>
      <c r="C45">
        <v>40.909090909090921</v>
      </c>
      <c r="D45">
        <v>77.27272727272728</v>
      </c>
      <c r="E45">
        <v>113.63636363636364</v>
      </c>
    </row>
    <row r="46" spans="1:5" x14ac:dyDescent="0.35">
      <c r="A46">
        <v>16</v>
      </c>
      <c r="B46">
        <v>0</v>
      </c>
      <c r="C46">
        <v>64.705882352941174</v>
      </c>
      <c r="D46">
        <v>164.70588235294116</v>
      </c>
      <c r="E46">
        <v>179.41176470588235</v>
      </c>
    </row>
    <row r="47" spans="1:5" x14ac:dyDescent="0.35">
      <c r="A47">
        <v>17</v>
      </c>
      <c r="B47">
        <v>0</v>
      </c>
      <c r="C47">
        <v>27.27272727272728</v>
      </c>
      <c r="D47">
        <v>95.454545454545453</v>
      </c>
      <c r="E47">
        <v>145.45454545454547</v>
      </c>
    </row>
    <row r="48" spans="1:5" x14ac:dyDescent="0.35">
      <c r="A48">
        <v>18</v>
      </c>
      <c r="B48">
        <v>0</v>
      </c>
      <c r="C48">
        <v>29.411764705882337</v>
      </c>
      <c r="D48">
        <v>155.88235294117644</v>
      </c>
      <c r="E48">
        <v>217.64705882352939</v>
      </c>
    </row>
    <row r="49" spans="1:5" x14ac:dyDescent="0.35">
      <c r="A49">
        <v>19</v>
      </c>
      <c r="B49">
        <v>0</v>
      </c>
      <c r="C49">
        <v>20.45454545454546</v>
      </c>
      <c r="D49">
        <v>54.545454545454561</v>
      </c>
      <c r="E49">
        <v>68.181818181818187</v>
      </c>
    </row>
    <row r="50" spans="1:5" x14ac:dyDescent="0.35">
      <c r="A50">
        <v>20</v>
      </c>
      <c r="B50">
        <v>0</v>
      </c>
      <c r="C50">
        <v>24.489795918367339</v>
      </c>
      <c r="D50">
        <v>71.428571428571431</v>
      </c>
      <c r="E50">
        <v>108.16326530612244</v>
      </c>
    </row>
    <row r="51" spans="1:5" x14ac:dyDescent="0.35">
      <c r="B51">
        <f>AVERAGE(B30:B50)</f>
        <v>0</v>
      </c>
      <c r="C51">
        <f t="shared" ref="C51" si="3">AVERAGE(C30:C50)</f>
        <v>32.339705880812645</v>
      </c>
      <c r="D51">
        <f t="shared" ref="D51" si="4">AVERAGE(D30:D50)</f>
        <v>96.015374490027526</v>
      </c>
      <c r="E51">
        <f t="shared" ref="E51" si="5">AVERAGE(E30:E50)</f>
        <v>135.90399746125422</v>
      </c>
    </row>
    <row r="52" spans="1:5" x14ac:dyDescent="0.35">
      <c r="B52">
        <f>_xlfn.STDEV.S(B31:B50)</f>
        <v>0</v>
      </c>
      <c r="C52">
        <f t="shared" ref="C52:E52" si="6">_xlfn.STDEV.S(C31:C50)</f>
        <v>18.126576867222042</v>
      </c>
      <c r="D52">
        <f t="shared" si="6"/>
        <v>40.295675149987368</v>
      </c>
      <c r="E52">
        <f t="shared" si="6"/>
        <v>54.924168027896869</v>
      </c>
    </row>
    <row r="53" spans="1:5" x14ac:dyDescent="0.35">
      <c r="B53">
        <f>B52/SQRT(20) *1.96</f>
        <v>0</v>
      </c>
      <c r="C53">
        <f t="shared" ref="C53" si="7">C52/SQRT(20) *1.96</f>
        <v>7.9443225825987973</v>
      </c>
      <c r="D53">
        <f t="shared" ref="D53" si="8">D52/SQRT(20) *1.96</f>
        <v>17.660358291585673</v>
      </c>
      <c r="E53">
        <f t="shared" ref="E53" si="9">E52/SQRT(20) *1.96</f>
        <v>24.071577970327599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AEB6-3287-43C0-AF48-A895B29F4A32}">
  <dimension ref="A1:J9"/>
  <sheetViews>
    <sheetView workbookViewId="0">
      <selection activeCell="Q12" sqref="Q12"/>
    </sheetView>
  </sheetViews>
  <sheetFormatPr defaultRowHeight="14.5" x14ac:dyDescent="0.35"/>
  <cols>
    <col min="2" max="2" width="9.453125" bestFit="1" customWidth="1"/>
  </cols>
  <sheetData>
    <row r="1" spans="1:10" x14ac:dyDescent="0.35">
      <c r="A1" t="s">
        <v>5</v>
      </c>
    </row>
    <row r="3" spans="1:10" x14ac:dyDescent="0.35">
      <c r="A3" t="s">
        <v>10</v>
      </c>
      <c r="B3" s="2">
        <v>45171</v>
      </c>
      <c r="C3" t="s">
        <v>12</v>
      </c>
    </row>
    <row r="5" spans="1:10" x14ac:dyDescent="0.35">
      <c r="A5" t="s">
        <v>11</v>
      </c>
      <c r="B5" s="2">
        <v>45201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35">
      <c r="A6">
        <v>1</v>
      </c>
      <c r="B6" s="3">
        <v>7</v>
      </c>
      <c r="C6">
        <v>18</v>
      </c>
      <c r="D6" s="6"/>
      <c r="E6" s="6"/>
      <c r="F6" s="6"/>
      <c r="G6" s="6"/>
      <c r="H6" s="6"/>
      <c r="I6" s="6"/>
      <c r="J6" s="6"/>
    </row>
    <row r="7" spans="1:10" x14ac:dyDescent="0.35">
      <c r="A7">
        <v>2</v>
      </c>
      <c r="B7" s="3">
        <v>5</v>
      </c>
      <c r="C7">
        <v>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3</v>
      </c>
      <c r="B8" s="3">
        <v>8</v>
      </c>
      <c r="C8">
        <v>16</v>
      </c>
      <c r="D8">
        <v>1</v>
      </c>
      <c r="E8" s="6"/>
      <c r="F8" s="6"/>
      <c r="G8" s="6"/>
      <c r="H8" s="6"/>
      <c r="I8" s="6"/>
      <c r="J8" s="6"/>
    </row>
    <row r="9" spans="1:10" x14ac:dyDescent="0.35">
      <c r="A9">
        <v>4</v>
      </c>
      <c r="B9" s="3">
        <v>6</v>
      </c>
      <c r="C9">
        <v>18</v>
      </c>
      <c r="D9">
        <v>1</v>
      </c>
      <c r="E9" s="6"/>
      <c r="F9" s="6"/>
      <c r="G9" s="6"/>
      <c r="H9" s="6"/>
      <c r="I9" s="6"/>
      <c r="J9" s="6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2DB0-9258-4BC9-8CDC-ED232258CF21}">
  <dimension ref="A1:D8"/>
  <sheetViews>
    <sheetView workbookViewId="0">
      <selection activeCell="I10" sqref="I10"/>
    </sheetView>
  </sheetViews>
  <sheetFormatPr defaultRowHeight="14.5" x14ac:dyDescent="0.35"/>
  <sheetData>
    <row r="1" spans="1:4" x14ac:dyDescent="0.35">
      <c r="A1" t="s">
        <v>6</v>
      </c>
    </row>
    <row r="3" spans="1:4" x14ac:dyDescent="0.35">
      <c r="B3" t="s">
        <v>7</v>
      </c>
      <c r="C3" t="s">
        <v>8</v>
      </c>
      <c r="D3" t="s">
        <v>6</v>
      </c>
    </row>
    <row r="4" spans="1:4" x14ac:dyDescent="0.35">
      <c r="B4">
        <v>0.27300000000000002</v>
      </c>
      <c r="C4">
        <v>3.7999999999999999E-2</v>
      </c>
      <c r="D4">
        <f>C4/(B4+C4)</f>
        <v>0.12218649517684887</v>
      </c>
    </row>
    <row r="5" spans="1:4" x14ac:dyDescent="0.35">
      <c r="B5">
        <v>0.28899999999999998</v>
      </c>
      <c r="C5">
        <v>3.9E-2</v>
      </c>
      <c r="D5">
        <f t="shared" ref="D5:D6" si="0">C5/(B5+C5)</f>
        <v>0.11890243902439025</v>
      </c>
    </row>
    <row r="6" spans="1:4" x14ac:dyDescent="0.35">
      <c r="B6">
        <v>0.26800000000000002</v>
      </c>
      <c r="C6">
        <v>3.2000000000000001E-2</v>
      </c>
      <c r="D6">
        <f t="shared" si="0"/>
        <v>0.10666666666666666</v>
      </c>
    </row>
    <row r="7" spans="1:4" x14ac:dyDescent="0.35">
      <c r="B7" s="9" t="s">
        <v>9</v>
      </c>
      <c r="C7" s="9"/>
      <c r="D7">
        <f>AVERAGE(D4:D6)</f>
        <v>0.11591853362263527</v>
      </c>
    </row>
    <row r="8" spans="1:4" x14ac:dyDescent="0.35">
      <c r="D8">
        <f>_xlfn.STDEV.S(D4:D6)</f>
        <v>8.1788775410402813E-3</v>
      </c>
    </row>
  </sheetData>
  <mergeCells count="1">
    <mergeCell ref="B7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Imbibition</vt:lpstr>
      <vt:lpstr>Imbibition1</vt:lpstr>
      <vt:lpstr>Imbibition2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2023-02-10T06:42:45Z</dcterms:created>
  <dcterms:modified xsi:type="dcterms:W3CDTF">2026-02-21T11:11:39Z</dcterms:modified>
</cp:coreProperties>
</file>